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ta for release" sheetId="1" state="visible" r:id="rId2"/>
    <sheet name="Main vars" sheetId="2" state="visible" r:id="rId3"/>
    <sheet name="Sheet3" sheetId="3" state="visible" r:id="rId4"/>
    <sheet name="desc tables V2" sheetId="4" state="visible" r:id="rId5"/>
    <sheet name="models" sheetId="5" state="visible" r:id="rId6"/>
    <sheet name="Sheet6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<sst xmlns="http://schemas.openxmlformats.org/spreadsheetml/2006/main" count="980" uniqueCount="420">
  <si>
    <t xml:space="preserve">Counts</t>
  </si>
  <si>
    <t xml:space="preserve">Percents</t>
  </si>
  <si>
    <t xml:space="preserve">Means</t>
  </si>
  <si>
    <t xml:space="preserve">Total</t>
  </si>
  <si>
    <t xml:space="preserve">60up</t>
  </si>
  <si>
    <t xml:space="preserve">75up</t>
  </si>
  <si>
    <t xml:space="preserve">90up</t>
  </si>
  <si>
    <t xml:space="preserve">Overall</t>
  </si>
  <si>
    <t xml:space="preserve">To include?</t>
  </si>
  <si>
    <t xml:space="preserve">Mean</t>
  </si>
  <si>
    <t xml:space="preserve">Main</t>
  </si>
  <si>
    <t xml:space="preserve">Sex</t>
  </si>
  <si>
    <t xml:space="preserve">Female</t>
  </si>
  <si>
    <t xml:space="preserve">Commute Duration</t>
  </si>
  <si>
    <t xml:space="preserve">Male</t>
  </si>
  <si>
    <t xml:space="preserve">main</t>
  </si>
  <si>
    <t xml:space="preserve">Household size</t>
  </si>
  <si>
    <t xml:space="preserve">Shelter-cost-to-income ratio (stir)</t>
  </si>
  <si>
    <t xml:space="preserve">Age</t>
  </si>
  <si>
    <t xml:space="preserve">A 15-24</t>
  </si>
  <si>
    <t xml:space="preserve">geog</t>
  </si>
  <si>
    <t xml:space="preserve">Amenity Density 1</t>
  </si>
  <si>
    <t xml:space="preserve">B 25-34</t>
  </si>
  <si>
    <t xml:space="preserve">Amenity Density 2</t>
  </si>
  <si>
    <t xml:space="preserve">C 35-44</t>
  </si>
  <si>
    <t xml:space="preserve">Transit Accessibility 2</t>
  </si>
  <si>
    <t xml:space="preserve">D 45-54</t>
  </si>
  <si>
    <t xml:space="preserve">NEED ACCESS JOBS CANADA</t>
  </si>
  <si>
    <t xml:space="preserve">E 55-64</t>
  </si>
  <si>
    <t xml:space="preserve">F 65 up</t>
  </si>
  <si>
    <t xml:space="preserve">No</t>
  </si>
  <si>
    <t xml:space="preserve">Mobility (1yr)</t>
  </si>
  <si>
    <t xml:space="preserve">Did not move</t>
  </si>
  <si>
    <t xml:space="preserve">Moved</t>
  </si>
  <si>
    <t xml:space="preserve">MAIN</t>
  </si>
  <si>
    <t xml:space="preserve">Extra</t>
  </si>
  <si>
    <t xml:space="preserve">Mobility (5yr)</t>
  </si>
  <si>
    <t xml:space="preserve">Did not move (past 5 years)</t>
  </si>
  <si>
    <t xml:space="preserve">TRAVEL</t>
  </si>
  <si>
    <t xml:space="preserve">Moved (past 5 years)</t>
  </si>
  <si>
    <t xml:space="preserve">WORK</t>
  </si>
  <si>
    <t xml:space="preserve">combine?</t>
  </si>
  <si>
    <t xml:space="preserve">include in main model</t>
  </si>
  <si>
    <t xml:space="preserve">EXTRA</t>
  </si>
  <si>
    <t xml:space="preserve">VisMin</t>
  </si>
  <si>
    <t xml:space="preserve">A White</t>
  </si>
  <si>
    <t xml:space="preserve">GEOG</t>
  </si>
  <si>
    <t xml:space="preserve">B South Asian</t>
  </si>
  <si>
    <t xml:space="preserve">C Chinese</t>
  </si>
  <si>
    <t xml:space="preserve">D Black</t>
  </si>
  <si>
    <t xml:space="preserve">E Filipino</t>
  </si>
  <si>
    <t xml:space="preserve">F Latin American</t>
  </si>
  <si>
    <t xml:space="preserve">G Arab</t>
  </si>
  <si>
    <t xml:space="preserve">H Southeast Asian</t>
  </si>
  <si>
    <t xml:space="preserve">I West Asian</t>
  </si>
  <si>
    <t xml:space="preserve">J Korean</t>
  </si>
  <si>
    <t xml:space="preserve">K Japan</t>
  </si>
  <si>
    <t xml:space="preserve">L Other</t>
  </si>
  <si>
    <t xml:space="preserve">M Multiple</t>
  </si>
  <si>
    <t xml:space="preserve">N Aboriginal</t>
  </si>
  <si>
    <t xml:space="preserve">Immigrant</t>
  </si>
  <si>
    <t xml:space="preserve">A non immigrant</t>
  </si>
  <si>
    <t xml:space="preserve">B pre 1991</t>
  </si>
  <si>
    <t xml:space="preserve">C 1990 to 2000</t>
  </si>
  <si>
    <t xml:space="preserve">D 2001 to 2010</t>
  </si>
  <si>
    <t xml:space="preserve">E 2011 to 2016</t>
  </si>
  <si>
    <t xml:space="preserve">F non-PR</t>
  </si>
  <si>
    <t xml:space="preserve">Mental Health</t>
  </si>
  <si>
    <t xml:space="preserve">Yes (mental  health)</t>
  </si>
  <si>
    <t xml:space="preserve">Z No Answer</t>
  </si>
  <si>
    <t xml:space="preserve">Physical Health</t>
  </si>
  <si>
    <t xml:space="preserve">Yes (physical limitation)</t>
  </si>
  <si>
    <t xml:space="preserve">Educational Attainment</t>
  </si>
  <si>
    <t xml:space="preserve">A High School</t>
  </si>
  <si>
    <t xml:space="preserve">B Not even high school</t>
  </si>
  <si>
    <t xml:space="preserve">C Trades / Apprentiship</t>
  </si>
  <si>
    <t xml:space="preserve">D College / CEGEP / Uni below Bach</t>
  </si>
  <si>
    <t xml:space="preserve">E Bachelors</t>
  </si>
  <si>
    <t xml:space="preserve">F Post Graduate</t>
  </si>
  <si>
    <t xml:space="preserve">Emp</t>
  </si>
  <si>
    <t xml:space="preserve">Employer</t>
  </si>
  <si>
    <t xml:space="preserve">A Employee</t>
  </si>
  <si>
    <t xml:space="preserve">B Self Employed</t>
  </si>
  <si>
    <t xml:space="preserve">Full or Part Time</t>
  </si>
  <si>
    <t xml:space="preserve">A Full-Time (2015)</t>
  </si>
  <si>
    <t xml:space="preserve">B Part-Time (2015)</t>
  </si>
  <si>
    <t xml:space="preserve">C did not work in 2015</t>
  </si>
  <si>
    <t xml:space="preserve">Hours worked per week</t>
  </si>
  <si>
    <t xml:space="preserve">0 0</t>
  </si>
  <si>
    <t xml:space="preserve">A 35 to 44</t>
  </si>
  <si>
    <t xml:space="preserve">B 25 to 34</t>
  </si>
  <si>
    <t xml:space="preserve">C 15 to 24</t>
  </si>
  <si>
    <t xml:space="preserve">D 1 to 14</t>
  </si>
  <si>
    <t xml:space="preserve">E 45 to 54</t>
  </si>
  <si>
    <t xml:space="preserve">F 55 to 64</t>
  </si>
  <si>
    <t xml:space="preserve">G 65 and more</t>
  </si>
  <si>
    <t xml:space="preserve">NAICS</t>
  </si>
  <si>
    <t xml:space="preserve">NOCS</t>
  </si>
  <si>
    <t xml:space="preserve">Weeks worked per year (2015)</t>
  </si>
  <si>
    <t xml:space="preserve">A 49 up (in 2015)</t>
  </si>
  <si>
    <t xml:space="preserve">B 40 to 48 (in 2015)</t>
  </si>
  <si>
    <t xml:space="preserve">C 39 or less (in 2015)</t>
  </si>
  <si>
    <t xml:space="preserve">Travel</t>
  </si>
  <si>
    <t xml:space="preserve">Time arriving at work</t>
  </si>
  <si>
    <t xml:space="preserve">A 700 to 900</t>
  </si>
  <si>
    <t xml:space="preserve">B 900 to noon</t>
  </si>
  <si>
    <t xml:space="preserve">C noon to 6pm</t>
  </si>
  <si>
    <t xml:space="preserve">D 6pm to midnight</t>
  </si>
  <si>
    <t xml:space="preserve">E midnight to 500</t>
  </si>
  <si>
    <t xml:space="preserve">F 500 to 700</t>
  </si>
  <si>
    <t xml:space="preserve">Time departing for work</t>
  </si>
  <si>
    <t xml:space="preserve">Usual Mode</t>
  </si>
  <si>
    <t xml:space="preserve">A Private vehicle (driver)</t>
  </si>
  <si>
    <t xml:space="preserve">B Private vehicle (passenger)</t>
  </si>
  <si>
    <t xml:space="preserve">C Public transit</t>
  </si>
  <si>
    <t xml:space="preserve">D Walk</t>
  </si>
  <si>
    <t xml:space="preserve">E Bicycle</t>
  </si>
  <si>
    <t xml:space="preserve">O Other</t>
  </si>
  <si>
    <t xml:space="preserve">LICO</t>
  </si>
  <si>
    <t xml:space="preserve">Yes</t>
  </si>
  <si>
    <t xml:space="preserve">Z NA</t>
  </si>
  <si>
    <t xml:space="preserve">LIM</t>
  </si>
  <si>
    <t xml:space="preserve">Place in hhld</t>
  </si>
  <si>
    <t xml:space="preserve">A Couple, no children</t>
  </si>
  <si>
    <t xml:space="preserve">B Couple, with children</t>
  </si>
  <si>
    <t xml:space="preserve">C Lone parent</t>
  </si>
  <si>
    <t xml:space="preserve">D child of couple</t>
  </si>
  <si>
    <t xml:space="preserve">E Child of lone parent</t>
  </si>
  <si>
    <t xml:space="preserve">F Living alone</t>
  </si>
  <si>
    <t xml:space="preserve">G Living with non-relatives</t>
  </si>
  <si>
    <t xml:space="preserve">H Other family type</t>
  </si>
  <si>
    <t xml:space="preserve">Children in hhld</t>
  </si>
  <si>
    <t xml:space="preserve">4+</t>
  </si>
  <si>
    <t xml:space="preserve">Housing need</t>
  </si>
  <si>
    <t xml:space="preserve">Geog</t>
  </si>
  <si>
    <t xml:space="preserve">Dwelling Type</t>
  </si>
  <si>
    <t xml:space="preserve">A Single-detached house</t>
  </si>
  <si>
    <t xml:space="preserve">B row/town/semi-detached</t>
  </si>
  <si>
    <t xml:space="preserve">c apartment</t>
  </si>
  <si>
    <t xml:space="preserve">D Other</t>
  </si>
  <si>
    <t xml:space="preserve">Tenure</t>
  </si>
  <si>
    <t xml:space="preserve">A Own</t>
  </si>
  <si>
    <t xml:space="preserve">B Rent not-subsidized</t>
  </si>
  <si>
    <t xml:space="preserve">C Rent subsidized</t>
  </si>
  <si>
    <t xml:space="preserve">D Band housing</t>
  </si>
  <si>
    <t xml:space="preserve">Geography</t>
  </si>
  <si>
    <t xml:space="preserve">A Major CMA</t>
  </si>
  <si>
    <t xml:space="preserve">B Mid-size CMA</t>
  </si>
  <si>
    <t xml:space="preserve">C Small CMA</t>
  </si>
  <si>
    <t xml:space="preserve">D CA</t>
  </si>
  <si>
    <t xml:space="preserve">E Rural</t>
  </si>
  <si>
    <t xml:space="preserve">Total N</t>
  </si>
  <si>
    <t xml:space="preserve">ExCom</t>
  </si>
  <si>
    <t xml:space="preserve">Low-Income Status</t>
  </si>
  <si>
    <t xml:space="preserve">High School</t>
  </si>
  <si>
    <t xml:space="preserve">Not even high school</t>
  </si>
  <si>
    <t xml:space="preserve">Not applicable</t>
  </si>
  <si>
    <t xml:space="preserve">Trades / Apprenticeship</t>
  </si>
  <si>
    <t xml:space="preserve">15-24</t>
  </si>
  <si>
    <t xml:space="preserve">Core housing need</t>
  </si>
  <si>
    <t xml:space="preserve">College / CEGEP / Some University</t>
  </si>
  <si>
    <t xml:space="preserve">25-34</t>
  </si>
  <si>
    <t xml:space="preserve">Bachelors</t>
  </si>
  <si>
    <t xml:space="preserve">35-44</t>
  </si>
  <si>
    <t xml:space="preserve">Post Graduate</t>
  </si>
  <si>
    <t xml:space="preserve">45-54</t>
  </si>
  <si>
    <t xml:space="preserve">Res Mobility (past 5 years)</t>
  </si>
  <si>
    <t xml:space="preserve">55-64</t>
  </si>
  <si>
    <t xml:space="preserve">65 and up</t>
  </si>
  <si>
    <t xml:space="preserve">No noted issues</t>
  </si>
  <si>
    <t xml:space="preserve">Has physical limitation</t>
  </si>
  <si>
    <t xml:space="preserve">Couple, no children</t>
  </si>
  <si>
    <t xml:space="preserve">No Answer</t>
  </si>
  <si>
    <t xml:space="preserve">Couple, with children</t>
  </si>
  <si>
    <t xml:space="preserve">Lone parent</t>
  </si>
  <si>
    <t xml:space="preserve">700 to 900</t>
  </si>
  <si>
    <t xml:space="preserve">Child of couple</t>
  </si>
  <si>
    <t xml:space="preserve">900 to 1200</t>
  </si>
  <si>
    <t xml:space="preserve">Child of lone parent</t>
  </si>
  <si>
    <t xml:space="preserve">1200 to 1800</t>
  </si>
  <si>
    <t xml:space="preserve">Living alone</t>
  </si>
  <si>
    <t xml:space="preserve">1800 to 2400</t>
  </si>
  <si>
    <t xml:space="preserve">Living with non-relatives</t>
  </si>
  <si>
    <t xml:space="preserve">2400 to 500</t>
  </si>
  <si>
    <t xml:space="preserve">Other</t>
  </si>
  <si>
    <t xml:space="preserve">500 to 700</t>
  </si>
  <si>
    <t xml:space="preserve">Visible Minority</t>
  </si>
  <si>
    <t xml:space="preserve">White</t>
  </si>
  <si>
    <t xml:space="preserve">Private vehicle (driver)</t>
  </si>
  <si>
    <t xml:space="preserve">South Asian</t>
  </si>
  <si>
    <t xml:space="preserve">Private vehicle (passenger)</t>
  </si>
  <si>
    <t xml:space="preserve">Chinese</t>
  </si>
  <si>
    <t xml:space="preserve">Public transit</t>
  </si>
  <si>
    <t xml:space="preserve">Black</t>
  </si>
  <si>
    <t xml:space="preserve">Walk</t>
  </si>
  <si>
    <t xml:space="preserve">Filipino</t>
  </si>
  <si>
    <t xml:space="preserve">Bicycle</t>
  </si>
  <si>
    <t xml:space="preserve">Latin American</t>
  </si>
  <si>
    <t xml:space="preserve">Arab</t>
  </si>
  <si>
    <t xml:space="preserve">Southeast Asian</t>
  </si>
  <si>
    <t xml:space="preserve">Major CMA</t>
  </si>
  <si>
    <t xml:space="preserve">West Asian</t>
  </si>
  <si>
    <t xml:space="preserve">Mid-size CMA</t>
  </si>
  <si>
    <t xml:space="preserve">Korean</t>
  </si>
  <si>
    <t xml:space="preserve">Small CMA</t>
  </si>
  <si>
    <t xml:space="preserve">Japan</t>
  </si>
  <si>
    <t xml:space="preserve">CA</t>
  </si>
  <si>
    <t xml:space="preserve">Rural</t>
  </si>
  <si>
    <t xml:space="preserve">Multiple</t>
  </si>
  <si>
    <t xml:space="preserve">Housing Type</t>
  </si>
  <si>
    <t xml:space="preserve">Aboriginal</t>
  </si>
  <si>
    <t xml:space="preserve">Single-detached house</t>
  </si>
  <si>
    <t xml:space="preserve">Immigrant Status</t>
  </si>
  <si>
    <t xml:space="preserve">Row/town/semi-detached</t>
  </si>
  <si>
    <t xml:space="preserve">Not an immigrant</t>
  </si>
  <si>
    <t xml:space="preserve">Apartment</t>
  </si>
  <si>
    <t xml:space="preserve">Immigrated &lt; 1991</t>
  </si>
  <si>
    <t xml:space="preserve">Immigrated 1991 to 2000</t>
  </si>
  <si>
    <t xml:space="preserve">Immigrated 2001 to 2010</t>
  </si>
  <si>
    <t xml:space="preserve">Accessibility</t>
  </si>
  <si>
    <t xml:space="preserve">All</t>
  </si>
  <si>
    <t xml:space="preserve">Immigrated 2011 to 2016</t>
  </si>
  <si>
    <t xml:space="preserve">Local Accessibility (mean)</t>
  </si>
  <si>
    <t xml:space="preserve">Non-Permanent Resident</t>
  </si>
  <si>
    <t xml:space="preserve">Accessibility to Jobs (mean)</t>
  </si>
  <si>
    <t xml:space="preserve">RDC</t>
  </si>
  <si>
    <t xml:space="preserve">Extreme Commuters</t>
  </si>
  <si>
    <t xml:space="preserve">N</t>
  </si>
  <si>
    <t xml:space="preserve">pre 1991</t>
  </si>
  <si>
    <t xml:space="preserve">1990 to 2000</t>
  </si>
  <si>
    <t xml:space="preserve">2001 to 2010</t>
  </si>
  <si>
    <t xml:space="preserve">2011 to 2016</t>
  </si>
  <si>
    <t xml:space="preserve">Non-PR status</t>
  </si>
  <si>
    <t xml:space="preserve">Housing Need</t>
  </si>
  <si>
    <t xml:space="preserve">65 up</t>
  </si>
  <si>
    <t xml:space="preserve">No physical limitation</t>
  </si>
  <si>
    <t xml:space="preserve">No answer</t>
  </si>
  <si>
    <t xml:space="preserve">Visible Minority Group</t>
  </si>
  <si>
    <t xml:space="preserve">Other family type</t>
  </si>
  <si>
    <t xml:space="preserve">Commuters in hhld</t>
  </si>
  <si>
    <t xml:space="preserve">No other commuters hhld</t>
  </si>
  <si>
    <t xml:space="preserve">x</t>
  </si>
  <si>
    <t xml:space="preserve">Others, but not extreme</t>
  </si>
  <si>
    <t xml:space="preserve">2+ extreme commuters in hhld</t>
  </si>
  <si>
    <t xml:space="preserve">Indigenous</t>
  </si>
  <si>
    <t xml:space="preserve">Low-Income (LICO)</t>
  </si>
  <si>
    <t xml:space="preserve">Private ownership</t>
  </si>
  <si>
    <t xml:space="preserve">Rent not-subsidized</t>
  </si>
  <si>
    <t xml:space="preserve">Rent subsidized/other</t>
  </si>
  <si>
    <t xml:space="preserve">Mobility (past year)</t>
  </si>
  <si>
    <t xml:space="preserve">Industry</t>
  </si>
  <si>
    <t xml:space="preserve">Agriculture/Forestry/Fish</t>
  </si>
  <si>
    <t xml:space="preserve">Mining/Oil/Gas</t>
  </si>
  <si>
    <t xml:space="preserve">Utilities</t>
  </si>
  <si>
    <t xml:space="preserve">7am to 9am</t>
  </si>
  <si>
    <t xml:space="preserve">Construction</t>
  </si>
  <si>
    <t xml:space="preserve">9am to 12pm</t>
  </si>
  <si>
    <t xml:space="preserve">Manufacturing</t>
  </si>
  <si>
    <t xml:space="preserve">12pm to 6pm</t>
  </si>
  <si>
    <t xml:space="preserve">Wholesale Trade</t>
  </si>
  <si>
    <t xml:space="preserve">6pm to 12am</t>
  </si>
  <si>
    <t xml:space="preserve">Retail Trade</t>
  </si>
  <si>
    <t xml:space="preserve">12am to 5am</t>
  </si>
  <si>
    <t xml:space="preserve">Transportation/Warehouse</t>
  </si>
  <si>
    <t xml:space="preserve">5am to 7am</t>
  </si>
  <si>
    <t xml:space="preserve">Information</t>
  </si>
  <si>
    <t xml:space="preserve">Finance and Insurance</t>
  </si>
  <si>
    <t xml:space="preserve">Car (driver)</t>
  </si>
  <si>
    <t xml:space="preserve">Real Estate</t>
  </si>
  <si>
    <t xml:space="preserve">Car (passenger)</t>
  </si>
  <si>
    <t xml:space="preserve">Professional/Scientific/Tech</t>
  </si>
  <si>
    <t xml:space="preserve">Management</t>
  </si>
  <si>
    <t xml:space="preserve">Administrative Services</t>
  </si>
  <si>
    <t xml:space="preserve">Educational Services</t>
  </si>
  <si>
    <t xml:space="preserve">Healthcare/Social Assistance</t>
  </si>
  <si>
    <t xml:space="preserve">Education</t>
  </si>
  <si>
    <t xml:space="preserve">Arts/Entertainment/Recreation</t>
  </si>
  <si>
    <t xml:space="preserve">Accommodation/Food</t>
  </si>
  <si>
    <t xml:space="preserve">Below high school</t>
  </si>
  <si>
    <t xml:space="preserve">Other Services</t>
  </si>
  <si>
    <t xml:space="preserve">Trades/Apprenticeship</t>
  </si>
  <si>
    <t xml:space="preserve">Public Administration</t>
  </si>
  <si>
    <t xml:space="preserve">College/CEGEP</t>
  </si>
  <si>
    <t xml:space="preserve">Occupation</t>
  </si>
  <si>
    <t xml:space="preserve">Post-Graduate</t>
  </si>
  <si>
    <t xml:space="preserve">Business/Finance</t>
  </si>
  <si>
    <t xml:space="preserve">Sciences</t>
  </si>
  <si>
    <t xml:space="preserve">Health</t>
  </si>
  <si>
    <t xml:space="preserve">Education/Law/Government</t>
  </si>
  <si>
    <t xml:space="preserve">Art/Culture/Recreation</t>
  </si>
  <si>
    <t xml:space="preserve">Sales/Service</t>
  </si>
  <si>
    <t xml:space="preserve">Trades/Transport</t>
  </si>
  <si>
    <t xml:space="preserve">Accessibility (means)</t>
  </si>
  <si>
    <t xml:space="preserve">Agriculture/Natural resources</t>
  </si>
  <si>
    <t xml:space="preserve">Amenity accessibility (Z)</t>
  </si>
  <si>
    <t xml:space="preserve">Manufacturing/Utilities</t>
  </si>
  <si>
    <t xml:space="preserve">Job accessibility (Z)</t>
  </si>
  <si>
    <t xml:space="preserve">Agriculture/Forestry/Fishing</t>
  </si>
  <si>
    <t xml:space="preserve">Transportation/Warehousing</t>
  </si>
  <si>
    <t xml:space="preserve">Professional/Scientific/Technical</t>
  </si>
  <si>
    <t xml:space="preserve">Health Care and Social Assistance</t>
  </si>
  <si>
    <t xml:space="preserve">Arts, Entertainment, and Recreation</t>
  </si>
  <si>
    <t xml:space="preserve">Odds Ratios</t>
  </si>
  <si>
    <t xml:space="preserve">Intercept</t>
  </si>
  <si>
    <t xml:space="preserve">rho</t>
  </si>
  <si>
    <t xml:space="preserve">Logistic Regression Models</t>
  </si>
  <si>
    <t xml:space="preserve">Sample is all commuters in Canada</t>
  </si>
  <si>
    <t xml:space="preserve">1 = Commute Greater than 60 min</t>
  </si>
  <si>
    <t xml:space="preserve">1 = Commute Greater than 75 min</t>
  </si>
  <si>
    <t xml:space="preserve">1 = Commute Greater than 90 min</t>
  </si>
  <si>
    <t xml:space="preserve">pR2</t>
  </si>
  <si>
    <t xml:space="preserve">variable name</t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</si>
  <si>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</si>
  <si>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</si>
  <si>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</si>
  <si>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</si>
  <si>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</si>
  <si>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C_sexMale</t>
  </si>
  <si>
    <t xml:space="preserve">C_ageB 25-34</t>
  </si>
  <si>
    <t xml:space="preserve">C_ageC 35-44</t>
  </si>
  <si>
    <t xml:space="preserve">C_ageD 45-54</t>
  </si>
  <si>
    <t xml:space="preserve">C_ageE 55-64</t>
  </si>
  <si>
    <t xml:space="preserve">C_ageF 65 up</t>
  </si>
  <si>
    <t xml:space="preserve">c_actmphysYes (phys)</t>
  </si>
  <si>
    <t xml:space="preserve">c_actmphysZ No Answer</t>
  </si>
  <si>
    <t xml:space="preserve">c_visminB South Asian</t>
  </si>
  <si>
    <t xml:space="preserve">c_visminC Chinese</t>
  </si>
  <si>
    <t xml:space="preserve">c_visminD Black</t>
  </si>
  <si>
    <t xml:space="preserve">c_visminE Filipino</t>
  </si>
  <si>
    <t xml:space="preserve">c_visminF Latin American</t>
  </si>
  <si>
    <t xml:space="preserve">c_visminG Arab</t>
  </si>
  <si>
    <t xml:space="preserve">c_visminH Southeast Asian</t>
  </si>
  <si>
    <t xml:space="preserve">c_visminI West Asian</t>
  </si>
  <si>
    <t xml:space="preserve">c_visminJ Korean</t>
  </si>
  <si>
    <t xml:space="preserve">c_visminK Japan</t>
  </si>
  <si>
    <t xml:space="preserve">c_visminL Other</t>
  </si>
  <si>
    <t xml:space="preserve">c_visminM Multiple</t>
  </si>
  <si>
    <t xml:space="preserve">c_visminN Aboriginal</t>
  </si>
  <si>
    <t xml:space="preserve">c_immigB pre 1991</t>
  </si>
  <si>
    <t xml:space="preserve">c_immigC 1990 to 2000</t>
  </si>
  <si>
    <t xml:space="preserve">c_immigD 2001 to 2010</t>
  </si>
  <si>
    <t xml:space="preserve">c_immigE 2011 to 2016</t>
  </si>
  <si>
    <t xml:space="preserve">c_immigF non-PR</t>
  </si>
  <si>
    <t xml:space="preserve">c_licoYes</t>
  </si>
  <si>
    <t xml:space="preserve">c_houseneedYes</t>
  </si>
  <si>
    <t xml:space="preserve">c_houseneedZ NA</t>
  </si>
  <si>
    <t xml:space="preserve">c_pers_in_hhldB Couple, with children</t>
  </si>
  <si>
    <t xml:space="preserve">c_pers_in_hhldC Lone parent</t>
  </si>
  <si>
    <t xml:space="preserve">c_pers_in_hhldD child of couple</t>
  </si>
  <si>
    <t xml:space="preserve">c_pers_in_hhldE Child of lone parent</t>
  </si>
  <si>
    <t xml:space="preserve">c_pers_in_hhldF Living alone</t>
  </si>
  <si>
    <t xml:space="preserve">c_pers_in_hhldG Living with non-relatives</t>
  </si>
  <si>
    <t xml:space="preserve">c_pers_in_hhldH Other family type</t>
  </si>
  <si>
    <t xml:space="preserve">C_fam_excoms_60B No</t>
  </si>
  <si>
    <t xml:space="preserve">C_fam_excoms_60C Yes</t>
  </si>
  <si>
    <t xml:space="preserve">c_tenureB Rent not-subsidized</t>
  </si>
  <si>
    <t xml:space="preserve">c_tenureC Rent subsidized</t>
  </si>
  <si>
    <t xml:space="preserve">c_tenureD Band housing</t>
  </si>
  <si>
    <t xml:space="preserve">C_mob1Moved (past year)</t>
  </si>
  <si>
    <t xml:space="preserve">c_modeB Private vehicle (passenger)</t>
  </si>
  <si>
    <t xml:space="preserve">c_modeC Public transit</t>
  </si>
  <si>
    <t xml:space="preserve">c_modeD Walk</t>
  </si>
  <si>
    <t xml:space="preserve">c_modeE Bicycle</t>
  </si>
  <si>
    <t xml:space="preserve">c_modeO Other</t>
  </si>
  <si>
    <t xml:space="preserve">c_arriveB 900 to noon</t>
  </si>
  <si>
    <t xml:space="preserve">c_arriveC noon to 6pm</t>
  </si>
  <si>
    <t xml:space="preserve">c_arriveD 6pm to midnight</t>
  </si>
  <si>
    <t xml:space="preserve">c_arriveE midnight to 500</t>
  </si>
  <si>
    <t xml:space="preserve">c_arriveF 500 to 700</t>
  </si>
  <si>
    <t xml:space="preserve">c_dtypeB row/town/semi-detached</t>
  </si>
  <si>
    <t xml:space="preserve">c_dtypec apartment</t>
  </si>
  <si>
    <t xml:space="preserve">c_dtypeD Other</t>
  </si>
  <si>
    <t xml:space="preserve">c_geogB Mid-size CMA</t>
  </si>
  <si>
    <t xml:space="preserve">c_geogC Small CMA</t>
  </si>
  <si>
    <t xml:space="preserve">c_geogD CA</t>
  </si>
  <si>
    <t xml:space="preserve">c_geogE Rural</t>
  </si>
  <si>
    <t xml:space="preserve">prox_8</t>
  </si>
  <si>
    <t xml:space="preserve">prox_emp</t>
  </si>
  <si>
    <t xml:space="preserve">c_nacis21</t>
  </si>
  <si>
    <t xml:space="preserve">c_nacis22</t>
  </si>
  <si>
    <t xml:space="preserve">c_nacis23</t>
  </si>
  <si>
    <t xml:space="preserve">c_nacis31</t>
  </si>
  <si>
    <t xml:space="preserve">c_nacis41</t>
  </si>
  <si>
    <t xml:space="preserve">c_nacis44</t>
  </si>
  <si>
    <t xml:space="preserve">c_nacis48</t>
  </si>
  <si>
    <t xml:space="preserve">c_nacis51</t>
  </si>
  <si>
    <t xml:space="preserve">c_nacis52</t>
  </si>
  <si>
    <t xml:space="preserve">c_nacis53</t>
  </si>
  <si>
    <t xml:space="preserve">c_nacis54</t>
  </si>
  <si>
    <t xml:space="preserve">c_nacis55</t>
  </si>
  <si>
    <t xml:space="preserve">c_nacis56</t>
  </si>
  <si>
    <t xml:space="preserve">c_nacis61</t>
  </si>
  <si>
    <t xml:space="preserve">c_nacis62</t>
  </si>
  <si>
    <t xml:space="preserve">c_nacis71</t>
  </si>
  <si>
    <t xml:space="preserve">c_nacis72</t>
  </si>
  <si>
    <t xml:space="preserve">c_nacis81</t>
  </si>
  <si>
    <t xml:space="preserve">c_nacis91</t>
  </si>
  <si>
    <t xml:space="preserve">c_eduB Not even high school</t>
  </si>
  <si>
    <t xml:space="preserve">c_eduC Trades / Apprentiship</t>
  </si>
  <si>
    <t xml:space="preserve">c_eduD College / CEGEP / Uni below Bach</t>
  </si>
  <si>
    <t xml:space="preserve">c_eduE Bachelors</t>
  </si>
  <si>
    <t xml:space="preserve">c_eduF Post Graduate</t>
  </si>
  <si>
    <t xml:space="preserve">c_nocs10</t>
  </si>
  <si>
    <t xml:space="preserve">c_nocs2</t>
  </si>
  <si>
    <t xml:space="preserve">c_nocs3</t>
  </si>
  <si>
    <t xml:space="preserve">c_nocs4</t>
  </si>
  <si>
    <t xml:space="preserve">c_nocs5</t>
  </si>
  <si>
    <t xml:space="preserve">c_nocs6</t>
  </si>
  <si>
    <t xml:space="preserve">c_nocs7</t>
  </si>
  <si>
    <t xml:space="preserve">c_nocs8</t>
  </si>
  <si>
    <t xml:space="preserve">c_nocs9</t>
  </si>
  <si>
    <t xml:space="preserve">Null deviance: 2889886  on 4543416  degrees of freedom</t>
  </si>
  <si>
    <t xml:space="preserve"> Null deviance: 1369678  on 4543416  degrees of freedom</t>
  </si>
  <si>
    <t xml:space="preserve">Null deviance: 1060120  on 4543416  degrees of freedom</t>
  </si>
  <si>
    <t xml:space="preserve">Residual deviance: 2373527  on 4543322  degrees of freedom</t>
  </si>
  <si>
    <t xml:space="preserve">Residual deviance: 1144157  on 4543322  degrees of freedom</t>
  </si>
  <si>
    <t xml:space="preserve">Residual deviance:  884609  on 4543322  degrees of freedom</t>
  </si>
  <si>
    <t xml:space="preserve">AIC: 2318127</t>
  </si>
  <si>
    <t xml:space="preserve">AIC: 1114964</t>
  </si>
  <si>
    <t xml:space="preserve">AIC: 860248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</si>
</sst>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0.0"/>
    <numFmt numFmtId="168" formatCode="0.0%"/>
    <numFmt numFmtId="169" formatCode="0.00"/>
    <numFmt numFmtId="170" formatCode="0.00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 val="true"/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73"/>
  <sheetViews>
    <sheetView showFormulas="false" showGridLines="true" showRowColHeaders="true" showZeros="true" rightToLeft="false" tabSelected="false" showOutlineSymbols="true" defaultGridColor="true" view="normal" topLeftCell="A133" colorId="64" zoomScale="95" zoomScaleNormal="95" zoomScalePageLayoutView="100" workbookViewId="0">
      <selection pane="topLeft" activeCell="J168" activeCellId="0" sqref="J168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2" width="24.06"/>
    <col collapsed="false" customWidth="true" hidden="false" outlineLevel="0" max="3" min="3" style="3" width="25.66"/>
    <col collapsed="false" customWidth="true" hidden="false" outlineLevel="0" max="4" min="4" style="3" width="5"/>
    <col collapsed="false" customWidth="true" hidden="false" outlineLevel="0" max="8" min="5" style="4" width="10.87"/>
    <col collapsed="false" customWidth="true" hidden="false" outlineLevel="0" max="9" min="9" style="0" width="4.55"/>
    <col collapsed="false" customWidth="true" hidden="false" outlineLevel="0" max="11" min="10" style="5" width="10.11"/>
    <col collapsed="false" customWidth="true" hidden="false" outlineLevel="0" max="12" min="12" style="5" width="9.11"/>
    <col collapsed="false" customWidth="true" hidden="false" outlineLevel="0" max="13" min="13" style="5" width="13.11"/>
    <col collapsed="false" customWidth="true" hidden="false" outlineLevel="0" max="14" min="14" style="0" width="13.11"/>
    <col collapsed="false" customWidth="true" hidden="false" outlineLevel="0" max="17" min="17" style="0" width="13.33"/>
    <col collapsed="false" customWidth="true" hidden="false" outlineLevel="0" max="21" min="18" style="0" width="10.33"/>
  </cols>
  <sheetData>
    <row r="1" customFormat="false" ht="13.8" hidden="false" customHeight="false" outlineLevel="0" collapsed="false">
      <c r="E1" s="6" t="s">
        <v>0</v>
      </c>
      <c r="F1" s="6"/>
      <c r="G1" s="6"/>
      <c r="H1" s="6"/>
      <c r="J1" s="7" t="s">
        <v>1</v>
      </c>
      <c r="K1" s="7"/>
      <c r="L1" s="7"/>
      <c r="M1" s="8"/>
      <c r="R1" s="9" t="s">
        <v>2</v>
      </c>
      <c r="S1" s="9"/>
      <c r="T1" s="9"/>
      <c r="U1" s="9"/>
    </row>
    <row r="2" customFormat="false" ht="13.8" hidden="false" customHeight="false" outlineLevel="0" collapsed="false">
      <c r="E2" s="10" t="s">
        <v>3</v>
      </c>
      <c r="F2" s="10" t="s">
        <v>4</v>
      </c>
      <c r="G2" s="10" t="s">
        <v>5</v>
      </c>
      <c r="H2" s="10" t="s">
        <v>6</v>
      </c>
      <c r="J2" s="10" t="s">
        <v>4</v>
      </c>
      <c r="K2" s="10" t="s">
        <v>5</v>
      </c>
      <c r="L2" s="10" t="s">
        <v>6</v>
      </c>
      <c r="M2" s="10"/>
      <c r="R2" s="2" t="s">
        <v>7</v>
      </c>
      <c r="S2" s="8" t="s">
        <v>4</v>
      </c>
      <c r="T2" s="8" t="s">
        <v>5</v>
      </c>
      <c r="U2" s="8" t="s">
        <v>6</v>
      </c>
    </row>
    <row r="3" customFormat="false" ht="13.8" hidden="false" customHeight="false" outlineLevel="0" collapsed="false">
      <c r="E3" s="10"/>
      <c r="F3" s="10"/>
      <c r="G3" s="10"/>
      <c r="H3" s="10"/>
    </row>
    <row r="4" customFormat="false" ht="13.8" hidden="false" customHeight="false" outlineLevel="0" collapsed="false">
      <c r="A4" s="1" t="s">
        <v>8</v>
      </c>
      <c r="C4" s="11" t="s">
        <v>3</v>
      </c>
      <c r="D4" s="11"/>
      <c r="E4" s="10" t="n">
        <v>18322895</v>
      </c>
      <c r="F4" s="10" t="n">
        <v>1773950</v>
      </c>
      <c r="G4" s="10" t="n">
        <v>635880</v>
      </c>
      <c r="H4" s="10" t="n">
        <v>456865</v>
      </c>
      <c r="J4" s="12" t="n">
        <f aca="false">F4/E4</f>
        <v>0.0968160326192995</v>
      </c>
      <c r="K4" s="12" t="n">
        <f aca="false">G4/E4</f>
        <v>0.0347041229019759</v>
      </c>
      <c r="L4" s="12" t="n">
        <f aca="false">H4/E4</f>
        <v>0.0249341056639794</v>
      </c>
      <c r="M4" s="12"/>
      <c r="N4" s="1" t="s">
        <v>8</v>
      </c>
      <c r="P4" s="11" t="s">
        <v>3</v>
      </c>
      <c r="Q4" s="11"/>
      <c r="R4" s="10"/>
      <c r="S4" s="10"/>
      <c r="T4" s="10"/>
      <c r="U4" s="10"/>
    </row>
    <row r="5" customFormat="false" ht="13.8" hidden="false" customHeight="false" outlineLevel="0" collapsed="false">
      <c r="C5" s="11"/>
      <c r="D5" s="11"/>
      <c r="O5" s="2" t="s">
        <v>9</v>
      </c>
    </row>
    <row r="6" customFormat="false" ht="13.8" hidden="false" customHeight="false" outlineLevel="0" collapsed="false">
      <c r="A6" s="1" t="s">
        <v>10</v>
      </c>
      <c r="B6" s="2" t="s">
        <v>11</v>
      </c>
      <c r="C6" s="3" t="s">
        <v>12</v>
      </c>
      <c r="E6" s="4" t="n">
        <v>8804620</v>
      </c>
      <c r="F6" s="4" t="n">
        <v>719625</v>
      </c>
      <c r="G6" s="4" t="n">
        <v>251110</v>
      </c>
      <c r="H6" s="4" t="n">
        <v>171070</v>
      </c>
      <c r="J6" s="5" t="n">
        <f aca="false">F6/E6</f>
        <v>0.0817326585360867</v>
      </c>
      <c r="K6" s="5" t="n">
        <f aca="false">G6/E6</f>
        <v>0.0285202541393041</v>
      </c>
      <c r="L6" s="5" t="n">
        <f aca="false">H6/E6</f>
        <v>0.0194295722018667</v>
      </c>
      <c r="O6" s="13" t="s">
        <v>13</v>
      </c>
      <c r="R6" s="14" t="n">
        <v>26.3</v>
      </c>
      <c r="S6" s="14" t="n">
        <v>75.2</v>
      </c>
      <c r="T6" s="14" t="n">
        <v>101</v>
      </c>
      <c r="U6" s="14" t="n">
        <v>110.4</v>
      </c>
    </row>
    <row r="7" customFormat="false" ht="13.8" hidden="false" customHeight="false" outlineLevel="0" collapsed="false">
      <c r="C7" s="3" t="s">
        <v>14</v>
      </c>
      <c r="E7" s="4" t="n">
        <v>9518275</v>
      </c>
      <c r="F7" s="4" t="n">
        <v>1054325</v>
      </c>
      <c r="G7" s="4" t="n">
        <v>384770</v>
      </c>
      <c r="H7" s="4" t="n">
        <v>285795</v>
      </c>
      <c r="J7" s="5" t="n">
        <f aca="false">F7/E7</f>
        <v>0.110768495341856</v>
      </c>
      <c r="K7" s="5" t="n">
        <f aca="false">G7/E7</f>
        <v>0.0404243415955097</v>
      </c>
      <c r="L7" s="5" t="n">
        <f aca="false">H7/E7</f>
        <v>0.030025923814977</v>
      </c>
      <c r="N7" s="0" t="s">
        <v>15</v>
      </c>
      <c r="O7" s="13" t="s">
        <v>16</v>
      </c>
      <c r="R7" s="14" t="n">
        <v>3.13</v>
      </c>
      <c r="S7" s="14" t="n">
        <v>3.23</v>
      </c>
      <c r="T7" s="14" t="n">
        <v>3.19</v>
      </c>
      <c r="U7" s="14" t="n">
        <v>3.2</v>
      </c>
    </row>
    <row r="8" customFormat="false" ht="13.8" hidden="false" customHeight="false" outlineLevel="0" collapsed="false">
      <c r="N8" s="0" t="s">
        <v>15</v>
      </c>
      <c r="O8" s="13" t="s">
        <v>17</v>
      </c>
      <c r="R8" s="14" t="n">
        <v>30.6</v>
      </c>
      <c r="S8" s="14" t="n">
        <v>32.7</v>
      </c>
      <c r="T8" s="14" t="n">
        <v>32.5</v>
      </c>
      <c r="U8" s="14" t="n">
        <v>33.6</v>
      </c>
    </row>
    <row r="9" customFormat="false" ht="13.8" hidden="false" customHeight="false" outlineLevel="0" collapsed="false">
      <c r="A9" s="1" t="s">
        <v>10</v>
      </c>
      <c r="B9" s="2" t="s">
        <v>18</v>
      </c>
      <c r="C9" s="3" t="s">
        <v>19</v>
      </c>
      <c r="E9" s="4" t="n">
        <v>2876525</v>
      </c>
      <c r="F9" s="4" t="n">
        <v>226210</v>
      </c>
      <c r="G9" s="4" t="n">
        <v>76110</v>
      </c>
      <c r="H9" s="4" t="n">
        <v>56265</v>
      </c>
      <c r="J9" s="5" t="n">
        <f aca="false">F9/E9</f>
        <v>0.0786400257254847</v>
      </c>
      <c r="K9" s="5" t="n">
        <f aca="false">G9/E9</f>
        <v>0.0264590086997332</v>
      </c>
      <c r="L9" s="5" t="n">
        <f aca="false">H9/E9</f>
        <v>0.0195600594467283</v>
      </c>
      <c r="N9" s="0" t="s">
        <v>20</v>
      </c>
      <c r="O9" s="13" t="s">
        <v>21</v>
      </c>
      <c r="R9" s="0" t="n">
        <v>0.38</v>
      </c>
      <c r="S9" s="0" t="n">
        <v>0.38</v>
      </c>
      <c r="T9" s="0" t="n">
        <v>0.35</v>
      </c>
      <c r="U9" s="0" t="n">
        <v>0.34</v>
      </c>
    </row>
    <row r="10" customFormat="false" ht="13.8" hidden="false" customHeight="false" outlineLevel="0" collapsed="false">
      <c r="C10" s="3" t="s">
        <v>22</v>
      </c>
      <c r="E10" s="4" t="n">
        <v>3823280</v>
      </c>
      <c r="F10" s="4" t="n">
        <v>394050</v>
      </c>
      <c r="G10" s="4" t="n">
        <v>137550</v>
      </c>
      <c r="H10" s="4" t="n">
        <v>96385</v>
      </c>
      <c r="J10" s="5" t="n">
        <f aca="false">F10/E10</f>
        <v>0.103065953840681</v>
      </c>
      <c r="K10" s="5" t="n">
        <f aca="false">G10/E10</f>
        <v>0.0359769621895336</v>
      </c>
      <c r="L10" s="5" t="n">
        <f aca="false">H10/E10</f>
        <v>0.0252100290849742</v>
      </c>
      <c r="O10" s="13" t="s">
        <v>23</v>
      </c>
      <c r="R10" s="0" t="n">
        <v>0.54</v>
      </c>
      <c r="S10" s="0" t="n">
        <v>0.49</v>
      </c>
      <c r="T10" s="0" t="n">
        <v>0.48</v>
      </c>
      <c r="U10" s="0" t="n">
        <v>0.48</v>
      </c>
    </row>
    <row r="11" customFormat="false" ht="13.8" hidden="false" customHeight="false" outlineLevel="0" collapsed="false">
      <c r="C11" s="3" t="s">
        <v>24</v>
      </c>
      <c r="E11" s="4" t="n">
        <v>3680925</v>
      </c>
      <c r="F11" s="4" t="n">
        <v>385435</v>
      </c>
      <c r="G11" s="4" t="n">
        <v>134780</v>
      </c>
      <c r="H11" s="4" t="n">
        <v>92870</v>
      </c>
      <c r="J11" s="5" t="n">
        <f aca="false">F11/E11</f>
        <v>0.104711451605235</v>
      </c>
      <c r="K11" s="5" t="n">
        <f aca="false">G11/E11</f>
        <v>0.0366157963012015</v>
      </c>
      <c r="L11" s="5" t="n">
        <f aca="false">H11/E11</f>
        <v>0.0252300712456787</v>
      </c>
      <c r="O11" s="13" t="s">
        <v>25</v>
      </c>
      <c r="R11" s="0" t="n">
        <v>0.18</v>
      </c>
      <c r="S11" s="0" t="n">
        <v>0.16</v>
      </c>
      <c r="T11" s="0" t="n">
        <v>0.15</v>
      </c>
      <c r="U11" s="0" t="n">
        <v>0.15</v>
      </c>
    </row>
    <row r="12" customFormat="false" ht="13.8" hidden="false" customHeight="false" outlineLevel="0" collapsed="false">
      <c r="C12" s="3" t="s">
        <v>26</v>
      </c>
      <c r="E12" s="4" t="n">
        <v>3969650</v>
      </c>
      <c r="F12" s="4" t="n">
        <v>400080</v>
      </c>
      <c r="G12" s="4" t="n">
        <v>145370</v>
      </c>
      <c r="H12" s="4" t="n">
        <v>104815</v>
      </c>
      <c r="J12" s="5" t="n">
        <f aca="false">F12/E12</f>
        <v>0.100784703941154</v>
      </c>
      <c r="K12" s="5" t="n">
        <f aca="false">G12/E12</f>
        <v>0.036620356958422</v>
      </c>
      <c r="L12" s="5" t="n">
        <f aca="false">H12/E12</f>
        <v>0.0264040910407719</v>
      </c>
      <c r="N12" s="0" t="s">
        <v>20</v>
      </c>
      <c r="O12" s="0" t="s">
        <v>27</v>
      </c>
    </row>
    <row r="13" customFormat="false" ht="13.8" hidden="false" customHeight="false" outlineLevel="0" collapsed="false">
      <c r="C13" s="3" t="s">
        <v>28</v>
      </c>
      <c r="E13" s="4" t="n">
        <v>3074575</v>
      </c>
      <c r="F13" s="4" t="n">
        <v>290865</v>
      </c>
      <c r="G13" s="4" t="n">
        <v>111560</v>
      </c>
      <c r="H13" s="4" t="n">
        <v>82730</v>
      </c>
      <c r="J13" s="5" t="n">
        <f aca="false">F13/E13</f>
        <v>0.0946033191579324</v>
      </c>
      <c r="K13" s="5" t="n">
        <f aca="false">G13/E13</f>
        <v>0.0362846897538684</v>
      </c>
      <c r="L13" s="5" t="n">
        <f aca="false">H13/E13</f>
        <v>0.026907784002667</v>
      </c>
    </row>
    <row r="14" customFormat="false" ht="13.8" hidden="false" customHeight="false" outlineLevel="0" collapsed="false">
      <c r="C14" s="3" t="s">
        <v>29</v>
      </c>
      <c r="E14" s="4" t="n">
        <v>897940</v>
      </c>
      <c r="F14" s="4" t="n">
        <v>77310</v>
      </c>
      <c r="G14" s="4" t="n">
        <v>30515</v>
      </c>
      <c r="H14" s="4" t="n">
        <v>23800</v>
      </c>
      <c r="J14" s="5" t="n">
        <f aca="false">F14/E14</f>
        <v>0.0860970666191505</v>
      </c>
      <c r="K14" s="5" t="n">
        <f aca="false">G14/E14</f>
        <v>0.0339833396440742</v>
      </c>
      <c r="L14" s="5" t="n">
        <f aca="false">H14/E14</f>
        <v>0.0265051117001136</v>
      </c>
    </row>
    <row r="16" customFormat="false" ht="13.8" hidden="false" customHeight="false" outlineLevel="0" collapsed="false">
      <c r="A16" s="1" t="s">
        <v>30</v>
      </c>
      <c r="B16" s="2" t="s">
        <v>31</v>
      </c>
      <c r="C16" s="3" t="s">
        <v>32</v>
      </c>
      <c r="E16" s="4" t="n">
        <v>15685935</v>
      </c>
      <c r="F16" s="4" t="n">
        <v>1505035</v>
      </c>
      <c r="G16" s="4" t="n">
        <v>538045</v>
      </c>
      <c r="H16" s="4" t="n">
        <v>386275</v>
      </c>
      <c r="J16" s="5" t="n">
        <f aca="false">F16/E16</f>
        <v>0.0959480579257787</v>
      </c>
      <c r="K16" s="5" t="n">
        <f aca="false">G16/E16</f>
        <v>0.0343011111546746</v>
      </c>
      <c r="L16" s="5" t="n">
        <f aca="false">H16/E16</f>
        <v>0.024625564239556</v>
      </c>
    </row>
    <row r="17" customFormat="false" ht="13.8" hidden="false" customHeight="false" outlineLevel="0" collapsed="false">
      <c r="C17" s="3" t="s">
        <v>33</v>
      </c>
      <c r="E17" s="4" t="n">
        <v>2636960</v>
      </c>
      <c r="F17" s="4" t="n">
        <v>268910</v>
      </c>
      <c r="G17" s="4" t="n">
        <v>97840</v>
      </c>
      <c r="H17" s="4" t="n">
        <v>70590</v>
      </c>
      <c r="J17" s="5" t="n">
        <f aca="false">F17/E17</f>
        <v>0.101977276864268</v>
      </c>
      <c r="K17" s="5" t="n">
        <f aca="false">G17/E17</f>
        <v>0.0371033311085492</v>
      </c>
      <c r="L17" s="5" t="n">
        <f aca="false">H17/E17</f>
        <v>0.0267694618045022</v>
      </c>
    </row>
    <row r="18" customFormat="false" ht="13.8" hidden="false" customHeight="false" outlineLevel="0" collapsed="false">
      <c r="N18" s="0" t="s">
        <v>34</v>
      </c>
    </row>
    <row r="19" customFormat="false" ht="13.8" hidden="false" customHeight="false" outlineLevel="0" collapsed="false">
      <c r="A19" s="1" t="s">
        <v>35</v>
      </c>
      <c r="B19" s="2" t="s">
        <v>36</v>
      </c>
      <c r="C19" s="3" t="s">
        <v>37</v>
      </c>
      <c r="E19" s="4" t="n">
        <v>10689345</v>
      </c>
      <c r="F19" s="4" t="n">
        <v>990475</v>
      </c>
      <c r="G19" s="4" t="n">
        <v>353060</v>
      </c>
      <c r="H19" s="4" t="n">
        <v>255165</v>
      </c>
      <c r="J19" s="5" t="n">
        <f aca="false">F19/E19</f>
        <v>0.092660027344987</v>
      </c>
      <c r="K19" s="5" t="n">
        <f aca="false">G19/E19</f>
        <v>0.0330291519265212</v>
      </c>
      <c r="L19" s="5" t="n">
        <f aca="false">H19/E19</f>
        <v>0.0238709668366022</v>
      </c>
      <c r="N19" s="0" t="s">
        <v>38</v>
      </c>
    </row>
    <row r="20" customFormat="false" ht="13.8" hidden="false" customHeight="false" outlineLevel="0" collapsed="false">
      <c r="C20" s="3" t="s">
        <v>39</v>
      </c>
      <c r="E20" s="4" t="n">
        <v>7633550</v>
      </c>
      <c r="F20" s="4" t="n">
        <v>783475</v>
      </c>
      <c r="G20" s="4" t="n">
        <v>282825</v>
      </c>
      <c r="H20" s="4" t="n">
        <v>201700</v>
      </c>
      <c r="J20" s="5" t="n">
        <f aca="false">F20/E20</f>
        <v>0.102635733046879</v>
      </c>
      <c r="K20" s="5" t="n">
        <f aca="false">G20/E20</f>
        <v>0.0370502583987791</v>
      </c>
      <c r="L20" s="5" t="n">
        <f aca="false">H20/E20</f>
        <v>0.0264228307930124</v>
      </c>
      <c r="N20" s="0" t="s">
        <v>40</v>
      </c>
      <c r="O20" s="0" t="s">
        <v>41</v>
      </c>
      <c r="P20" s="0" t="s">
        <v>42</v>
      </c>
    </row>
    <row r="21" customFormat="false" ht="13.8" hidden="false" customHeight="false" outlineLevel="0" collapsed="false">
      <c r="N21" s="0" t="s">
        <v>43</v>
      </c>
      <c r="O21" s="0" t="s">
        <v>41</v>
      </c>
    </row>
    <row r="22" customFormat="false" ht="13.8" hidden="false" customHeight="false" outlineLevel="0" collapsed="false">
      <c r="A22" s="1" t="s">
        <v>10</v>
      </c>
      <c r="B22" s="2" t="s">
        <v>44</v>
      </c>
      <c r="C22" s="3" t="s">
        <v>45</v>
      </c>
      <c r="E22" s="4" t="n">
        <v>13629560</v>
      </c>
      <c r="F22" s="4" t="n">
        <v>1144085</v>
      </c>
      <c r="G22" s="4" t="n">
        <v>409815</v>
      </c>
      <c r="H22" s="4" t="n">
        <v>291355</v>
      </c>
      <c r="J22" s="5" t="n">
        <f aca="false">F22/E22</f>
        <v>0.0839414478530488</v>
      </c>
      <c r="K22" s="5" t="n">
        <f aca="false">G22/E22</f>
        <v>0.0300681019783471</v>
      </c>
      <c r="L22" s="5" t="n">
        <f aca="false">H22/E22</f>
        <v>0.0213766988809617</v>
      </c>
      <c r="N22" s="0" t="s">
        <v>46</v>
      </c>
    </row>
    <row r="23" customFormat="false" ht="13.8" hidden="false" customHeight="false" outlineLevel="0" collapsed="false">
      <c r="C23" s="3" t="s">
        <v>47</v>
      </c>
      <c r="E23" s="4" t="n">
        <v>989640</v>
      </c>
      <c r="F23" s="4" t="n">
        <v>138465</v>
      </c>
      <c r="G23" s="4" t="n">
        <v>50760</v>
      </c>
      <c r="H23" s="4" t="n">
        <v>35755</v>
      </c>
      <c r="J23" s="5" t="n">
        <f aca="false">F23/E23</f>
        <v>0.139914514368861</v>
      </c>
      <c r="K23" s="5" t="n">
        <f aca="false">G23/E23</f>
        <v>0.0512913786831575</v>
      </c>
      <c r="L23" s="5" t="n">
        <f aca="false">H23/E23</f>
        <v>0.0361292995432683</v>
      </c>
    </row>
    <row r="24" customFormat="false" ht="13.8" hidden="false" customHeight="false" outlineLevel="0" collapsed="false">
      <c r="C24" s="3" t="s">
        <v>48</v>
      </c>
      <c r="E24" s="4" t="n">
        <v>752705</v>
      </c>
      <c r="F24" s="4" t="n">
        <v>102400</v>
      </c>
      <c r="G24" s="4" t="n">
        <v>34315</v>
      </c>
      <c r="H24" s="4" t="n">
        <v>23170</v>
      </c>
      <c r="J24" s="5" t="n">
        <f aca="false">F24/E24</f>
        <v>0.136042672760245</v>
      </c>
      <c r="K24" s="5" t="n">
        <f aca="false">G24/E24</f>
        <v>0.0455889093336699</v>
      </c>
      <c r="L24" s="5" t="n">
        <f aca="false">H24/E24</f>
        <v>0.0307823117954577</v>
      </c>
    </row>
    <row r="25" customFormat="false" ht="13.8" hidden="false" customHeight="false" outlineLevel="0" collapsed="false">
      <c r="C25" s="3" t="s">
        <v>49</v>
      </c>
      <c r="E25" s="4" t="n">
        <v>604215</v>
      </c>
      <c r="F25" s="4" t="n">
        <v>112140</v>
      </c>
      <c r="G25" s="4" t="n">
        <v>42680</v>
      </c>
      <c r="H25" s="4" t="n">
        <v>32480</v>
      </c>
      <c r="J25" s="5" t="n">
        <f aca="false">F25/E25</f>
        <v>0.185596186787816</v>
      </c>
      <c r="K25" s="5" t="n">
        <f aca="false">G25/E25</f>
        <v>0.0706371076520775</v>
      </c>
      <c r="L25" s="5" t="n">
        <f aca="false">H25/E25</f>
        <v>0.0537556995440365</v>
      </c>
    </row>
    <row r="26" customFormat="false" ht="13.8" hidden="false" customHeight="false" outlineLevel="0" collapsed="false">
      <c r="C26" s="3" t="s">
        <v>50</v>
      </c>
      <c r="E26" s="4" t="n">
        <v>487885</v>
      </c>
      <c r="F26" s="4" t="n">
        <v>64350</v>
      </c>
      <c r="G26" s="4" t="n">
        <v>21015</v>
      </c>
      <c r="H26" s="4" t="n">
        <v>15895</v>
      </c>
      <c r="J26" s="5" t="n">
        <f aca="false">F26/E26</f>
        <v>0.131895836108919</v>
      </c>
      <c r="K26" s="5" t="n">
        <f aca="false">G26/E26</f>
        <v>0.0430736751488568</v>
      </c>
      <c r="L26" s="5" t="n">
        <f aca="false">H26/E26</f>
        <v>0.0325793988337416</v>
      </c>
    </row>
    <row r="27" customFormat="false" ht="13.8" hidden="false" customHeight="false" outlineLevel="0" collapsed="false">
      <c r="C27" s="3" t="s">
        <v>51</v>
      </c>
      <c r="E27" s="4" t="n">
        <v>267450</v>
      </c>
      <c r="F27" s="4" t="n">
        <v>39410</v>
      </c>
      <c r="G27" s="4" t="n">
        <v>13000</v>
      </c>
      <c r="H27" s="4" t="n">
        <v>9420</v>
      </c>
      <c r="J27" s="5" t="n">
        <f aca="false">F27/E27</f>
        <v>0.147354645728174</v>
      </c>
      <c r="K27" s="5" t="n">
        <f aca="false">G27/E27</f>
        <v>0.0486072163021125</v>
      </c>
      <c r="L27" s="5" t="n">
        <f aca="false">H27/E27</f>
        <v>0.0352215367358385</v>
      </c>
    </row>
    <row r="28" customFormat="false" ht="13.8" hidden="false" customHeight="false" outlineLevel="0" collapsed="false">
      <c r="C28" s="3" t="s">
        <v>52</v>
      </c>
      <c r="E28" s="4" t="n">
        <v>217305</v>
      </c>
      <c r="F28" s="4" t="n">
        <v>25270</v>
      </c>
      <c r="G28" s="4" t="n">
        <v>8485</v>
      </c>
      <c r="H28" s="4" t="n">
        <v>6040</v>
      </c>
      <c r="J28" s="5" t="n">
        <f aca="false">F28/E28</f>
        <v>0.116288166402062</v>
      </c>
      <c r="K28" s="5" t="n">
        <f aca="false">G28/E28</f>
        <v>0.03904650146108</v>
      </c>
      <c r="L28" s="5" t="n">
        <f aca="false">H28/E28</f>
        <v>0.0277950346287476</v>
      </c>
    </row>
    <row r="29" customFormat="false" ht="13.8" hidden="false" customHeight="false" outlineLevel="0" collapsed="false">
      <c r="C29" s="3" t="s">
        <v>53</v>
      </c>
      <c r="E29" s="4" t="n">
        <v>172280</v>
      </c>
      <c r="F29" s="4" t="n">
        <v>18700</v>
      </c>
      <c r="G29" s="4" t="n">
        <v>5850</v>
      </c>
      <c r="H29" s="4" t="n">
        <v>4150</v>
      </c>
      <c r="J29" s="5" t="n">
        <f aca="false">F29/E29</f>
        <v>0.10854423032273</v>
      </c>
      <c r="K29" s="5" t="n">
        <f aca="false">G29/E29</f>
        <v>0.0339563501276991</v>
      </c>
      <c r="L29" s="5" t="n">
        <f aca="false">H29/E29</f>
        <v>0.0240886928256327</v>
      </c>
    </row>
    <row r="30" customFormat="false" ht="13.8" hidden="false" customHeight="false" outlineLevel="0" collapsed="false">
      <c r="C30" s="3" t="s">
        <v>54</v>
      </c>
      <c r="E30" s="4" t="n">
        <v>131940</v>
      </c>
      <c r="F30" s="4" t="n">
        <v>18560</v>
      </c>
      <c r="G30" s="4" t="n">
        <v>5940</v>
      </c>
      <c r="H30" s="4" t="n">
        <v>4260</v>
      </c>
      <c r="J30" s="5" t="n">
        <f aca="false">F30/E30</f>
        <v>0.140670001515841</v>
      </c>
      <c r="K30" s="5" t="n">
        <f aca="false">G30/E30</f>
        <v>0.0450204638472033</v>
      </c>
      <c r="L30" s="5" t="n">
        <f aca="false">H30/E30</f>
        <v>0.032287403365166</v>
      </c>
    </row>
    <row r="31" customFormat="false" ht="13.8" hidden="false" customHeight="false" outlineLevel="0" collapsed="false">
      <c r="C31" s="3" t="s">
        <v>55</v>
      </c>
      <c r="E31" s="4" t="n">
        <v>92415</v>
      </c>
      <c r="F31" s="4" t="n">
        <v>9955</v>
      </c>
      <c r="G31" s="4" t="n">
        <v>2900</v>
      </c>
      <c r="H31" s="4" t="n">
        <v>1965</v>
      </c>
      <c r="J31" s="5" t="n">
        <f aca="false">F31/E31</f>
        <v>0.107720608126386</v>
      </c>
      <c r="K31" s="5" t="n">
        <f aca="false">G31/E31</f>
        <v>0.0313801871990478</v>
      </c>
      <c r="L31" s="5" t="n">
        <f aca="false">H31/E31</f>
        <v>0.0212627820159065</v>
      </c>
    </row>
    <row r="32" customFormat="false" ht="13.8" hidden="false" customHeight="false" outlineLevel="0" collapsed="false">
      <c r="C32" s="3" t="s">
        <v>56</v>
      </c>
      <c r="E32" s="4" t="n">
        <v>45510</v>
      </c>
      <c r="F32" s="4" t="n">
        <v>4350</v>
      </c>
      <c r="G32" s="4" t="n">
        <v>1375</v>
      </c>
      <c r="H32" s="4" t="n">
        <v>855</v>
      </c>
      <c r="J32" s="5" t="n">
        <f aca="false">F32/E32</f>
        <v>0.0955833882663151</v>
      </c>
      <c r="K32" s="5" t="n">
        <f aca="false">G32/E32</f>
        <v>0.0302131399692375</v>
      </c>
      <c r="L32" s="5" t="n">
        <f aca="false">H32/E32</f>
        <v>0.0187870797626895</v>
      </c>
    </row>
    <row r="33" customFormat="false" ht="13.8" hidden="false" customHeight="false" outlineLevel="0" collapsed="false">
      <c r="C33" s="3" t="s">
        <v>57</v>
      </c>
      <c r="E33" s="4" t="n">
        <v>72340</v>
      </c>
      <c r="F33" s="4" t="n">
        <v>13040</v>
      </c>
      <c r="G33" s="4" t="n">
        <v>5190</v>
      </c>
      <c r="H33" s="4" t="n">
        <v>3780</v>
      </c>
      <c r="J33" s="5" t="n">
        <f aca="false">F33/E33</f>
        <v>0.18025988388167</v>
      </c>
      <c r="K33" s="5" t="n">
        <f aca="false">G33/E33</f>
        <v>0.0717445396737628</v>
      </c>
      <c r="L33" s="5" t="n">
        <f aca="false">H33/E33</f>
        <v>0.0522532485485209</v>
      </c>
    </row>
    <row r="34" customFormat="false" ht="13.8" hidden="false" customHeight="false" outlineLevel="0" collapsed="false">
      <c r="C34" s="3" t="s">
        <v>58</v>
      </c>
      <c r="E34" s="4" t="n">
        <v>103230</v>
      </c>
      <c r="F34" s="4" t="n">
        <v>14790</v>
      </c>
      <c r="G34" s="4" t="n">
        <v>5620</v>
      </c>
      <c r="H34" s="4" t="n">
        <v>4015</v>
      </c>
      <c r="J34" s="5" t="n">
        <f aca="false">F34/E34</f>
        <v>0.143272304562627</v>
      </c>
      <c r="K34" s="5" t="n">
        <f aca="false">G34/E34</f>
        <v>0.0544415383125061</v>
      </c>
      <c r="L34" s="5" t="n">
        <f aca="false">H34/E34</f>
        <v>0.0388937324421195</v>
      </c>
    </row>
    <row r="35" customFormat="false" ht="13.8" hidden="false" customHeight="false" outlineLevel="0" collapsed="false">
      <c r="C35" s="3" t="s">
        <v>59</v>
      </c>
      <c r="E35" s="4" t="n">
        <v>756425</v>
      </c>
      <c r="F35" s="4" t="n">
        <v>68430</v>
      </c>
      <c r="G35" s="4" t="n">
        <v>28930</v>
      </c>
      <c r="H35" s="4" t="n">
        <v>23720</v>
      </c>
      <c r="J35" s="5" t="n">
        <f aca="false">F35/E35</f>
        <v>0.0904650163598506</v>
      </c>
      <c r="K35" s="5" t="n">
        <f aca="false">G35/E35</f>
        <v>0.0382456952110255</v>
      </c>
      <c r="L35" s="5" t="n">
        <f aca="false">H35/E35</f>
        <v>0.031358032851902</v>
      </c>
    </row>
    <row r="37" customFormat="false" ht="13.8" hidden="false" customHeight="false" outlineLevel="0" collapsed="false">
      <c r="A37" s="1" t="s">
        <v>10</v>
      </c>
      <c r="B37" s="2" t="s">
        <v>60</v>
      </c>
      <c r="C37" s="3" t="s">
        <v>61</v>
      </c>
      <c r="E37" s="4" t="n">
        <v>13800425</v>
      </c>
      <c r="F37" s="4" t="n">
        <v>1165315</v>
      </c>
      <c r="G37" s="4" t="n">
        <v>424235</v>
      </c>
      <c r="H37" s="4" t="n">
        <v>305460</v>
      </c>
      <c r="J37" s="5" t="n">
        <f aca="false">F37/E37</f>
        <v>0.0844405154189092</v>
      </c>
      <c r="K37" s="5" t="n">
        <f aca="false">G37/E37</f>
        <v>0.030740719941596</v>
      </c>
      <c r="L37" s="5" t="n">
        <f aca="false">H37/E37</f>
        <v>0.0221341009425434</v>
      </c>
    </row>
    <row r="38" customFormat="false" ht="13.8" hidden="false" customHeight="false" outlineLevel="0" collapsed="false">
      <c r="C38" s="3" t="s">
        <v>62</v>
      </c>
      <c r="E38" s="4" t="n">
        <v>1338900</v>
      </c>
      <c r="F38" s="4" t="n">
        <v>167900</v>
      </c>
      <c r="G38" s="4" t="n">
        <v>59040</v>
      </c>
      <c r="H38" s="4" t="n">
        <v>42170</v>
      </c>
      <c r="J38" s="5" t="n">
        <f aca="false">F38/E38</f>
        <v>0.125401448950631</v>
      </c>
      <c r="K38" s="5" t="n">
        <f aca="false">G38/E38</f>
        <v>0.0440958996190903</v>
      </c>
      <c r="L38" s="5" t="n">
        <f aca="false">H38/E38</f>
        <v>0.0314960041825379</v>
      </c>
    </row>
    <row r="39" customFormat="false" ht="13.8" hidden="false" customHeight="false" outlineLevel="0" collapsed="false">
      <c r="C39" s="3" t="s">
        <v>63</v>
      </c>
      <c r="E39" s="4" t="n">
        <v>1021645</v>
      </c>
      <c r="F39" s="4" t="n">
        <v>145475</v>
      </c>
      <c r="G39" s="4" t="n">
        <v>50585</v>
      </c>
      <c r="H39" s="4" t="n">
        <v>35605</v>
      </c>
      <c r="J39" s="5" t="n">
        <f aca="false">F39/E39</f>
        <v>0.142392905559172</v>
      </c>
      <c r="K39" s="5" t="n">
        <f aca="false">G39/E39</f>
        <v>0.0495132849473154</v>
      </c>
      <c r="L39" s="5" t="n">
        <f aca="false">H39/E39</f>
        <v>0.0348506575180224</v>
      </c>
    </row>
    <row r="40" customFormat="false" ht="13.8" hidden="false" customHeight="false" outlineLevel="0" collapsed="false">
      <c r="C40" s="3" t="s">
        <v>64</v>
      </c>
      <c r="E40" s="4" t="n">
        <v>1265865</v>
      </c>
      <c r="F40" s="4" t="n">
        <v>177450</v>
      </c>
      <c r="G40" s="4" t="n">
        <v>61165</v>
      </c>
      <c r="H40" s="4" t="n">
        <v>43480</v>
      </c>
      <c r="J40" s="5" t="n">
        <f aca="false">F40/E40</f>
        <v>0.140180824969487</v>
      </c>
      <c r="K40" s="5" t="n">
        <f aca="false">G40/E40</f>
        <v>0.0483187385700687</v>
      </c>
      <c r="L40" s="5" t="n">
        <f aca="false">H40/E40</f>
        <v>0.0343480544923827</v>
      </c>
    </row>
    <row r="41" customFormat="false" ht="13.8" hidden="false" customHeight="false" outlineLevel="0" collapsed="false">
      <c r="C41" s="3" t="s">
        <v>65</v>
      </c>
      <c r="E41" s="4" t="n">
        <v>636955</v>
      </c>
      <c r="F41" s="4" t="n">
        <v>88330</v>
      </c>
      <c r="G41" s="4" t="n">
        <v>31040</v>
      </c>
      <c r="H41" s="4" t="n">
        <v>22850</v>
      </c>
      <c r="J41" s="5" t="n">
        <f aca="false">F41/E41</f>
        <v>0.138675416630688</v>
      </c>
      <c r="K41" s="5" t="n">
        <f aca="false">G41/E41</f>
        <v>0.0487318570385663</v>
      </c>
      <c r="L41" s="5" t="n">
        <f aca="false">H41/E41</f>
        <v>0.035873805841857</v>
      </c>
    </row>
    <row r="42" customFormat="false" ht="13.8" hidden="false" customHeight="false" outlineLevel="0" collapsed="false">
      <c r="C42" s="3" t="s">
        <v>66</v>
      </c>
      <c r="E42" s="4" t="n">
        <v>259105</v>
      </c>
      <c r="F42" s="4" t="n">
        <v>29480</v>
      </c>
      <c r="G42" s="4" t="n">
        <v>9820</v>
      </c>
      <c r="H42" s="4" t="n">
        <v>7300</v>
      </c>
      <c r="J42" s="5" t="n">
        <f aca="false">F42/E42</f>
        <v>0.113776268308215</v>
      </c>
      <c r="K42" s="5" t="n">
        <f aca="false">G42/E42</f>
        <v>0.0378996931745817</v>
      </c>
      <c r="L42" s="5" t="n">
        <f aca="false">H42/E42</f>
        <v>0.02817390633141</v>
      </c>
    </row>
    <row r="44" customFormat="false" ht="13.8" hidden="false" customHeight="false" outlineLevel="0" collapsed="false">
      <c r="A44" s="1" t="s">
        <v>30</v>
      </c>
      <c r="B44" s="2" t="s">
        <v>67</v>
      </c>
      <c r="C44" s="3" t="s">
        <v>30</v>
      </c>
      <c r="E44" s="4" t="n">
        <v>16118370</v>
      </c>
      <c r="F44" s="4" t="n">
        <v>1573090</v>
      </c>
      <c r="G44" s="4" t="n">
        <v>561285</v>
      </c>
      <c r="H44" s="4" t="n">
        <v>403935</v>
      </c>
      <c r="J44" s="5" t="n">
        <f aca="false">F44/E44</f>
        <v>0.0975960968758007</v>
      </c>
      <c r="K44" s="5" t="n">
        <f aca="false">G44/E44</f>
        <v>0.0348226898873769</v>
      </c>
      <c r="L44" s="5" t="n">
        <f aca="false">H44/E44</f>
        <v>0.0250605365182708</v>
      </c>
    </row>
    <row r="45" customFormat="false" ht="13.8" hidden="false" customHeight="false" outlineLevel="0" collapsed="false">
      <c r="C45" s="3" t="s">
        <v>68</v>
      </c>
      <c r="E45" s="4" t="n">
        <v>2086945</v>
      </c>
      <c r="F45" s="4" t="n">
        <v>187395</v>
      </c>
      <c r="G45" s="4" t="n">
        <v>69190</v>
      </c>
      <c r="H45" s="4" t="n">
        <v>48855</v>
      </c>
      <c r="J45" s="5" t="n">
        <f aca="false">F45/E45</f>
        <v>0.0897939332373398</v>
      </c>
      <c r="K45" s="5" t="n">
        <f aca="false">G45/E45</f>
        <v>0.0331537247028551</v>
      </c>
      <c r="L45" s="5" t="n">
        <f aca="false">H45/E45</f>
        <v>0.0234098167416966</v>
      </c>
    </row>
    <row r="46" customFormat="false" ht="13.8" hidden="false" customHeight="false" outlineLevel="0" collapsed="false">
      <c r="C46" s="3" t="s">
        <v>69</v>
      </c>
      <c r="E46" s="4" t="n">
        <v>117585</v>
      </c>
      <c r="F46" s="4" t="n">
        <v>13465</v>
      </c>
      <c r="G46" s="4" t="n">
        <v>5405</v>
      </c>
      <c r="H46" s="4" t="n">
        <v>4075</v>
      </c>
      <c r="J46" s="5" t="n">
        <f aca="false">F46/E46</f>
        <v>0.114512905557682</v>
      </c>
      <c r="K46" s="5" t="n">
        <f aca="false">G46/E46</f>
        <v>0.0459667474592848</v>
      </c>
      <c r="L46" s="5" t="n">
        <f aca="false">H46/E46</f>
        <v>0.0346557809244376</v>
      </c>
    </row>
    <row r="48" customFormat="false" ht="13.8" hidden="false" customHeight="false" outlineLevel="0" collapsed="false">
      <c r="A48" s="1" t="s">
        <v>10</v>
      </c>
      <c r="B48" s="2" t="s">
        <v>70</v>
      </c>
      <c r="C48" s="3" t="s">
        <v>30</v>
      </c>
      <c r="E48" s="4" t="n">
        <v>17096860</v>
      </c>
      <c r="F48" s="4" t="n">
        <v>1646390</v>
      </c>
      <c r="G48" s="4" t="n">
        <v>585075</v>
      </c>
      <c r="H48" s="4" t="n">
        <v>418460</v>
      </c>
      <c r="J48" s="5" t="n">
        <f aca="false">F48/E48</f>
        <v>0.0962977997129297</v>
      </c>
      <c r="K48" s="5" t="n">
        <f aca="false">G48/E48</f>
        <v>0.0342211961728645</v>
      </c>
      <c r="L48" s="5" t="n">
        <f aca="false">H48/E48</f>
        <v>0.0244758394231455</v>
      </c>
    </row>
    <row r="49" customFormat="false" ht="13.8" hidden="false" customHeight="false" outlineLevel="0" collapsed="false">
      <c r="C49" s="3" t="s">
        <v>71</v>
      </c>
      <c r="E49" s="4" t="n">
        <v>1113825</v>
      </c>
      <c r="F49" s="4" t="n">
        <v>114750</v>
      </c>
      <c r="G49" s="4" t="n">
        <v>45710</v>
      </c>
      <c r="H49" s="4" t="n">
        <v>34515</v>
      </c>
      <c r="J49" s="5" t="n">
        <f aca="false">F49/E49</f>
        <v>0.103023365429937</v>
      </c>
      <c r="K49" s="5" t="n">
        <f aca="false">G49/E49</f>
        <v>0.0410387628218077</v>
      </c>
      <c r="L49" s="5" t="n">
        <f aca="false">H49/E49</f>
        <v>0.0309878122685341</v>
      </c>
    </row>
    <row r="50" customFormat="false" ht="13.8" hidden="false" customHeight="false" outlineLevel="0" collapsed="false">
      <c r="C50" s="3" t="s">
        <v>69</v>
      </c>
      <c r="E50" s="4" t="n">
        <v>112215</v>
      </c>
      <c r="F50" s="4" t="n">
        <v>12805</v>
      </c>
      <c r="G50" s="4" t="n">
        <v>5100</v>
      </c>
      <c r="H50" s="4" t="n">
        <v>3895</v>
      </c>
      <c r="J50" s="5" t="n">
        <f aca="false">F50/E50</f>
        <v>0.114111304192844</v>
      </c>
      <c r="K50" s="5" t="n">
        <f aca="false">G50/E50</f>
        <v>0.0454484694559551</v>
      </c>
      <c r="L50" s="5" t="n">
        <f aca="false">H50/E50</f>
        <v>0.0347101546139108</v>
      </c>
    </row>
    <row r="52" customFormat="false" ht="13.8" hidden="false" customHeight="false" outlineLevel="0" collapsed="false">
      <c r="A52" s="1" t="s">
        <v>35</v>
      </c>
      <c r="B52" s="2" t="s">
        <v>72</v>
      </c>
      <c r="C52" s="3" t="s">
        <v>73</v>
      </c>
      <c r="E52" s="4" t="n">
        <v>4850785</v>
      </c>
      <c r="F52" s="4" t="n">
        <v>425040</v>
      </c>
      <c r="G52" s="4" t="n">
        <v>147440</v>
      </c>
      <c r="H52" s="4" t="n">
        <v>111115</v>
      </c>
      <c r="J52" s="5" t="n">
        <f aca="false">F52/E52</f>
        <v>0.0876229311338268</v>
      </c>
      <c r="K52" s="5" t="n">
        <f aca="false">G52/E52</f>
        <v>0.0303950803838966</v>
      </c>
      <c r="L52" s="5" t="n">
        <f aca="false">H52/E52</f>
        <v>0.0229066017149802</v>
      </c>
    </row>
    <row r="53" customFormat="false" ht="13.8" hidden="false" customHeight="false" outlineLevel="0" collapsed="false">
      <c r="C53" s="3" t="s">
        <v>74</v>
      </c>
      <c r="E53" s="4" t="n">
        <v>2113485</v>
      </c>
      <c r="F53" s="4" t="n">
        <v>184880</v>
      </c>
      <c r="G53" s="4" t="n">
        <v>66465</v>
      </c>
      <c r="H53" s="4" t="n">
        <v>53425</v>
      </c>
      <c r="J53" s="5" t="n">
        <f aca="false">F53/E53</f>
        <v>0.0874763719638417</v>
      </c>
      <c r="K53" s="5" t="n">
        <f aca="false">G53/E53</f>
        <v>0.0314480585383856</v>
      </c>
      <c r="L53" s="5" t="n">
        <f aca="false">H53/E53</f>
        <v>0.0252781543280411</v>
      </c>
    </row>
    <row r="54" customFormat="false" ht="13.8" hidden="false" customHeight="false" outlineLevel="0" collapsed="false">
      <c r="C54" s="3" t="s">
        <v>75</v>
      </c>
      <c r="E54" s="4" t="n">
        <v>1953805</v>
      </c>
      <c r="F54" s="4" t="n">
        <v>206655</v>
      </c>
      <c r="G54" s="4" t="n">
        <v>77245</v>
      </c>
      <c r="H54" s="4" t="n">
        <v>59935</v>
      </c>
      <c r="J54" s="5" t="n">
        <f aca="false">F54/E54</f>
        <v>0.105770534930559</v>
      </c>
      <c r="K54" s="5" t="n">
        <f aca="false">G54/E54</f>
        <v>0.0395356752593017</v>
      </c>
      <c r="L54" s="5" t="n">
        <f aca="false">H54/E54</f>
        <v>0.0306760398299728</v>
      </c>
    </row>
    <row r="55" customFormat="false" ht="13.8" hidden="false" customHeight="false" outlineLevel="0" collapsed="false">
      <c r="C55" s="3" t="s">
        <v>76</v>
      </c>
      <c r="E55" s="4" t="n">
        <v>4530285</v>
      </c>
      <c r="F55" s="4" t="n">
        <v>445910</v>
      </c>
      <c r="G55" s="4" t="n">
        <v>161180</v>
      </c>
      <c r="H55" s="4" t="n">
        <v>114335</v>
      </c>
      <c r="J55" s="5" t="n">
        <f aca="false">F55/E55</f>
        <v>0.0984286860539679</v>
      </c>
      <c r="K55" s="5" t="n">
        <f aca="false">G55/E55</f>
        <v>0.0355783355793289</v>
      </c>
      <c r="L55" s="5" t="n">
        <f aca="false">H55/E55</f>
        <v>0.025237926532216</v>
      </c>
    </row>
    <row r="56" customFormat="false" ht="13.8" hidden="false" customHeight="false" outlineLevel="0" collapsed="false">
      <c r="C56" s="3" t="s">
        <v>77</v>
      </c>
      <c r="E56" s="4" t="n">
        <v>3298890</v>
      </c>
      <c r="F56" s="4" t="n">
        <v>344345</v>
      </c>
      <c r="G56" s="4" t="n">
        <v>121010</v>
      </c>
      <c r="H56" s="4" t="n">
        <v>77695</v>
      </c>
      <c r="J56" s="5" t="n">
        <f aca="false">F56/E56</f>
        <v>0.104382080032981</v>
      </c>
      <c r="K56" s="5" t="n">
        <f aca="false">G56/E56</f>
        <v>0.0366820354725377</v>
      </c>
      <c r="L56" s="5" t="n">
        <f aca="false">H56/E56</f>
        <v>0.0235518613836775</v>
      </c>
    </row>
    <row r="57" customFormat="false" ht="13.8" hidden="false" customHeight="false" outlineLevel="0" collapsed="false">
      <c r="C57" s="3" t="s">
        <v>78</v>
      </c>
      <c r="E57" s="4" t="n">
        <v>1575650</v>
      </c>
      <c r="F57" s="4" t="n">
        <v>167115</v>
      </c>
      <c r="G57" s="4" t="n">
        <v>62540</v>
      </c>
      <c r="H57" s="4" t="n">
        <v>40360</v>
      </c>
      <c r="J57" s="5" t="n">
        <f aca="false">F57/E57</f>
        <v>0.10606099070225</v>
      </c>
      <c r="K57" s="5" t="n">
        <f aca="false">G57/E57</f>
        <v>0.0396915558658331</v>
      </c>
      <c r="L57" s="5" t="n">
        <f aca="false">H57/E57</f>
        <v>0.0256148256275188</v>
      </c>
    </row>
    <row r="59" customFormat="false" ht="13.8" hidden="false" customHeight="false" outlineLevel="0" collapsed="false">
      <c r="A59" s="1" t="s">
        <v>79</v>
      </c>
      <c r="B59" s="2" t="s">
        <v>80</v>
      </c>
      <c r="C59" s="3" t="s">
        <v>81</v>
      </c>
      <c r="E59" s="4" t="n">
        <v>16733515</v>
      </c>
      <c r="F59" s="4" t="n">
        <v>1619580</v>
      </c>
      <c r="G59" s="4" t="n">
        <v>584145</v>
      </c>
      <c r="H59" s="4" t="n">
        <v>415245</v>
      </c>
      <c r="J59" s="5" t="n">
        <f aca="false">F59/E59</f>
        <v>0.0967865986315487</v>
      </c>
      <c r="K59" s="5" t="n">
        <f aca="false">G59/E59</f>
        <v>0.0349086847563109</v>
      </c>
      <c r="L59" s="5" t="n">
        <f aca="false">H59/E59</f>
        <v>0.0248151688393024</v>
      </c>
      <c r="N59" s="10"/>
    </row>
    <row r="60" customFormat="false" ht="13.8" hidden="false" customHeight="false" outlineLevel="0" collapsed="false">
      <c r="C60" s="3" t="s">
        <v>82</v>
      </c>
      <c r="E60" s="4" t="n">
        <v>1589380</v>
      </c>
      <c r="F60" s="4" t="n">
        <v>154370</v>
      </c>
      <c r="G60" s="4" t="n">
        <v>51735</v>
      </c>
      <c r="H60" s="4" t="n">
        <v>41620</v>
      </c>
      <c r="J60" s="5" t="n">
        <f aca="false">F60/E60</f>
        <v>0.09712592331601</v>
      </c>
      <c r="K60" s="5" t="n">
        <f aca="false">G60/E60</f>
        <v>0.0325504284689627</v>
      </c>
      <c r="L60" s="5" t="n">
        <f aca="false">H60/E60</f>
        <v>0.026186311643534</v>
      </c>
    </row>
    <row r="62" customFormat="false" ht="13.8" hidden="false" customHeight="false" outlineLevel="0" collapsed="false">
      <c r="A62" s="1" t="s">
        <v>79</v>
      </c>
      <c r="B62" s="2" t="s">
        <v>83</v>
      </c>
      <c r="C62" s="3" t="s">
        <v>84</v>
      </c>
      <c r="E62" s="4" t="n">
        <v>3955500</v>
      </c>
      <c r="F62" s="4" t="n">
        <v>293120</v>
      </c>
      <c r="G62" s="4" t="n">
        <v>101460</v>
      </c>
      <c r="H62" s="4" t="n">
        <v>76490</v>
      </c>
      <c r="J62" s="5" t="n">
        <f aca="false">F62/E62</f>
        <v>0.0741044115788143</v>
      </c>
      <c r="K62" s="5" t="n">
        <f aca="false">G62/E62</f>
        <v>0.0256503602578688</v>
      </c>
      <c r="L62" s="5" t="n">
        <f aca="false">H62/E62</f>
        <v>0.0193376311465049</v>
      </c>
    </row>
    <row r="63" customFormat="false" ht="13.8" hidden="false" customHeight="false" outlineLevel="0" collapsed="false">
      <c r="C63" s="3" t="s">
        <v>85</v>
      </c>
      <c r="E63" s="4" t="n">
        <v>13833930</v>
      </c>
      <c r="F63" s="4" t="n">
        <v>1423010</v>
      </c>
      <c r="G63" s="4" t="n">
        <v>513880</v>
      </c>
      <c r="H63" s="4" t="n">
        <v>364710</v>
      </c>
      <c r="J63" s="5" t="n">
        <f aca="false">F63/E63</f>
        <v>0.10286375599703</v>
      </c>
      <c r="K63" s="5" t="n">
        <f aca="false">G63/E63</f>
        <v>0.0371463495911863</v>
      </c>
      <c r="L63" s="5" t="n">
        <f aca="false">H63/E63</f>
        <v>0.0263634411913317</v>
      </c>
    </row>
    <row r="64" customFormat="false" ht="13.8" hidden="false" customHeight="false" outlineLevel="0" collapsed="false">
      <c r="C64" s="3" t="s">
        <v>86</v>
      </c>
      <c r="E64" s="4" t="n">
        <v>533470</v>
      </c>
      <c r="F64" s="4" t="n">
        <v>57820</v>
      </c>
      <c r="G64" s="4" t="n">
        <v>20545</v>
      </c>
      <c r="H64" s="4" t="n">
        <v>15665</v>
      </c>
      <c r="J64" s="5" t="n">
        <f aca="false">F64/E64</f>
        <v>0.108384726413856</v>
      </c>
      <c r="K64" s="5" t="n">
        <f aca="false">G64/E64</f>
        <v>0.038512006298386</v>
      </c>
      <c r="L64" s="5" t="n">
        <f aca="false">H64/E64</f>
        <v>0.0293643503852138</v>
      </c>
    </row>
    <row r="66" customFormat="false" ht="13.8" hidden="false" customHeight="false" outlineLevel="0" collapsed="false">
      <c r="A66" s="1" t="s">
        <v>30</v>
      </c>
      <c r="B66" s="2" t="s">
        <v>87</v>
      </c>
      <c r="C66" s="3" t="s">
        <v>88</v>
      </c>
      <c r="E66" s="4" t="n">
        <v>3228645</v>
      </c>
      <c r="F66" s="4" t="n">
        <v>364485</v>
      </c>
      <c r="G66" s="4" t="n">
        <v>139160</v>
      </c>
      <c r="H66" s="4" t="n">
        <v>107950</v>
      </c>
      <c r="J66" s="5" t="n">
        <f aca="false">F66/E66</f>
        <v>0.112891011554383</v>
      </c>
      <c r="K66" s="5" t="n">
        <f aca="false">G66/E66</f>
        <v>0.0431016726831225</v>
      </c>
      <c r="L66" s="5" t="n">
        <f aca="false">H66/E66</f>
        <v>0.0334350788024078</v>
      </c>
    </row>
    <row r="67" customFormat="false" ht="13.8" hidden="false" customHeight="false" outlineLevel="0" collapsed="false">
      <c r="C67" s="3" t="s">
        <v>89</v>
      </c>
      <c r="E67" s="4" t="n">
        <v>8755980</v>
      </c>
      <c r="F67" s="4" t="n">
        <v>871315</v>
      </c>
      <c r="G67" s="4" t="n">
        <v>297260</v>
      </c>
      <c r="H67" s="4" t="n">
        <v>200665</v>
      </c>
      <c r="J67" s="5" t="n">
        <f aca="false">F67/E67</f>
        <v>0.0995108485857665</v>
      </c>
      <c r="K67" s="5" t="n">
        <f aca="false">G67/E67</f>
        <v>0.0339493694595008</v>
      </c>
      <c r="L67" s="5" t="n">
        <f aca="false">H67/E67</f>
        <v>0.0229174803962549</v>
      </c>
    </row>
    <row r="68" customFormat="false" ht="13.8" hidden="false" customHeight="false" outlineLevel="0" collapsed="false">
      <c r="C68" s="3" t="s">
        <v>90</v>
      </c>
      <c r="E68" s="4" t="n">
        <v>1529170</v>
      </c>
      <c r="F68" s="4" t="n">
        <v>108955</v>
      </c>
      <c r="G68" s="4" t="n">
        <v>37290</v>
      </c>
      <c r="H68" s="4" t="n">
        <v>26870</v>
      </c>
      <c r="J68" s="5" t="n">
        <f aca="false">F68/E68</f>
        <v>0.0712510708423524</v>
      </c>
      <c r="K68" s="5" t="n">
        <f aca="false">G68/E68</f>
        <v>0.0243857779056612</v>
      </c>
      <c r="L68" s="5" t="n">
        <f aca="false">H68/E68</f>
        <v>0.0175716238220734</v>
      </c>
    </row>
    <row r="69" customFormat="false" ht="13.8" hidden="false" customHeight="false" outlineLevel="0" collapsed="false">
      <c r="C69" s="3" t="s">
        <v>91</v>
      </c>
      <c r="E69" s="4" t="n">
        <v>1327375</v>
      </c>
      <c r="F69" s="4" t="n">
        <v>96595</v>
      </c>
      <c r="G69" s="4" t="n">
        <v>33895</v>
      </c>
      <c r="H69" s="4" t="n">
        <v>25305</v>
      </c>
      <c r="J69" s="5" t="n">
        <f aca="false">F69/E69</f>
        <v>0.0727714474055937</v>
      </c>
      <c r="K69" s="5" t="n">
        <f aca="false">G69/E69</f>
        <v>0.0255353611451172</v>
      </c>
      <c r="L69" s="5" t="n">
        <f aca="false">H69/E69</f>
        <v>0.0190639419907713</v>
      </c>
    </row>
    <row r="70" customFormat="false" ht="13.8" hidden="false" customHeight="false" outlineLevel="0" collapsed="false">
      <c r="C70" s="3" t="s">
        <v>92</v>
      </c>
      <c r="E70" s="4" t="n">
        <v>933935</v>
      </c>
      <c r="F70" s="4" t="n">
        <v>60855</v>
      </c>
      <c r="G70" s="4" t="n">
        <v>21425</v>
      </c>
      <c r="H70" s="4" t="n">
        <v>16325</v>
      </c>
      <c r="J70" s="5" t="n">
        <f aca="false">F70/E70</f>
        <v>0.0651597809269382</v>
      </c>
      <c r="K70" s="5" t="n">
        <f aca="false">G70/E70</f>
        <v>0.0229405686691258</v>
      </c>
      <c r="L70" s="5" t="n">
        <f aca="false">H70/E70</f>
        <v>0.0174798031982954</v>
      </c>
    </row>
    <row r="71" customFormat="false" ht="13.8" hidden="false" customHeight="false" outlineLevel="0" collapsed="false">
      <c r="C71" s="3" t="s">
        <v>93</v>
      </c>
      <c r="E71" s="4" t="n">
        <v>1594135</v>
      </c>
      <c r="F71" s="4" t="n">
        <v>157800</v>
      </c>
      <c r="G71" s="4" t="n">
        <v>57945</v>
      </c>
      <c r="H71" s="4" t="n">
        <v>40750</v>
      </c>
      <c r="J71" s="5" t="n">
        <f aca="false">F71/E71</f>
        <v>0.0989878523462567</v>
      </c>
      <c r="K71" s="5" t="n">
        <f aca="false">G71/E71</f>
        <v>0.0363488663130789</v>
      </c>
      <c r="L71" s="5" t="n">
        <f aca="false">H71/E71</f>
        <v>0.0255624523644484</v>
      </c>
    </row>
    <row r="72" customFormat="false" ht="13.8" hidden="false" customHeight="false" outlineLevel="0" collapsed="false">
      <c r="C72" s="3" t="s">
        <v>94</v>
      </c>
      <c r="E72" s="4" t="n">
        <v>579980</v>
      </c>
      <c r="F72" s="4" t="n">
        <v>63050</v>
      </c>
      <c r="G72" s="4" t="n">
        <v>24845</v>
      </c>
      <c r="H72" s="4" t="n">
        <v>18840</v>
      </c>
      <c r="J72" s="5" t="n">
        <f aca="false">F72/E72</f>
        <v>0.108710645194662</v>
      </c>
      <c r="K72" s="5" t="n">
        <f aca="false">G72/E72</f>
        <v>0.042837684058071</v>
      </c>
      <c r="L72" s="5" t="n">
        <f aca="false">H72/E72</f>
        <v>0.0324838787544398</v>
      </c>
    </row>
    <row r="73" customFormat="false" ht="13.8" hidden="false" customHeight="false" outlineLevel="0" collapsed="false">
      <c r="C73" s="3" t="s">
        <v>95</v>
      </c>
      <c r="E73" s="4" t="n">
        <v>373680</v>
      </c>
      <c r="F73" s="4" t="n">
        <v>50890</v>
      </c>
      <c r="G73" s="4" t="n">
        <v>24055</v>
      </c>
      <c r="H73" s="4" t="n">
        <v>20160</v>
      </c>
      <c r="J73" s="5" t="n">
        <f aca="false">F73/E73</f>
        <v>0.136186041532862</v>
      </c>
      <c r="K73" s="5" t="n">
        <f aca="false">G73/E73</f>
        <v>0.0643732605437808</v>
      </c>
      <c r="L73" s="5" t="n">
        <f aca="false">H73/E73</f>
        <v>0.0539499036608863</v>
      </c>
    </row>
    <row r="75" customFormat="false" ht="13.8" hidden="false" customHeight="false" outlineLevel="0" collapsed="false">
      <c r="A75" s="1" t="s">
        <v>79</v>
      </c>
      <c r="B75" s="2" t="s">
        <v>96</v>
      </c>
      <c r="C75" s="3" t="n">
        <v>11</v>
      </c>
      <c r="E75" s="4" t="n">
        <v>299975</v>
      </c>
      <c r="F75" s="4" t="n">
        <v>36445</v>
      </c>
      <c r="G75" s="4" t="n">
        <v>17555</v>
      </c>
      <c r="H75" s="4" t="n">
        <v>15440</v>
      </c>
      <c r="J75" s="5" t="n">
        <f aca="false">F75/E75</f>
        <v>0.121493457788149</v>
      </c>
      <c r="K75" s="5" t="n">
        <f aca="false">G75/E75</f>
        <v>0.0585215434619552</v>
      </c>
      <c r="L75" s="5" t="n">
        <f aca="false">H75/E75</f>
        <v>0.0514709559129927</v>
      </c>
    </row>
    <row r="76" customFormat="false" ht="13.8" hidden="false" customHeight="false" outlineLevel="0" collapsed="false">
      <c r="C76" s="3" t="n">
        <v>21</v>
      </c>
      <c r="E76" s="4" t="n">
        <v>278100</v>
      </c>
      <c r="F76" s="4" t="n">
        <v>58780</v>
      </c>
      <c r="G76" s="4" t="n">
        <v>29175</v>
      </c>
      <c r="H76" s="4" t="n">
        <v>25150</v>
      </c>
      <c r="J76" s="5" t="n">
        <f aca="false">F76/E76</f>
        <v>0.211362819129809</v>
      </c>
      <c r="K76" s="5" t="n">
        <f aca="false">G76/E76</f>
        <v>0.104908306364617</v>
      </c>
      <c r="L76" s="5" t="n">
        <f aca="false">H76/E76</f>
        <v>0.0904350952894642</v>
      </c>
    </row>
    <row r="77" customFormat="false" ht="13.8" hidden="false" customHeight="false" outlineLevel="0" collapsed="false">
      <c r="C77" s="3" t="n">
        <v>22</v>
      </c>
      <c r="E77" s="4" t="n">
        <v>141800</v>
      </c>
      <c r="F77" s="4" t="n">
        <v>18965</v>
      </c>
      <c r="G77" s="4" t="n">
        <v>7605</v>
      </c>
      <c r="H77" s="4" t="n">
        <v>5480</v>
      </c>
      <c r="J77" s="5" t="n">
        <f aca="false">F77/E77</f>
        <v>0.133744710860367</v>
      </c>
      <c r="K77" s="5" t="n">
        <f aca="false">G77/E77</f>
        <v>0.0536318758815233</v>
      </c>
      <c r="L77" s="5" t="n">
        <f aca="false">H77/E77</f>
        <v>0.0386459802538787</v>
      </c>
    </row>
    <row r="78" customFormat="false" ht="13.8" hidden="false" customHeight="false" outlineLevel="0" collapsed="false">
      <c r="C78" s="3" t="n">
        <v>23</v>
      </c>
      <c r="E78" s="4" t="n">
        <v>1391390</v>
      </c>
      <c r="F78" s="4" t="n">
        <v>223320</v>
      </c>
      <c r="G78" s="4" t="n">
        <v>72225</v>
      </c>
      <c r="H78" s="4" t="n">
        <v>57100</v>
      </c>
      <c r="J78" s="5" t="n">
        <f aca="false">F78/E78</f>
        <v>0.160501369134463</v>
      </c>
      <c r="K78" s="5" t="n">
        <f aca="false">G78/E78</f>
        <v>0.0519085231315447</v>
      </c>
      <c r="L78" s="5" t="n">
        <f aca="false">H78/E78</f>
        <v>0.0410380985920554</v>
      </c>
    </row>
    <row r="79" customFormat="false" ht="13.8" hidden="false" customHeight="false" outlineLevel="0" collapsed="false">
      <c r="C79" s="3" t="n">
        <v>31</v>
      </c>
      <c r="E79" s="4" t="n">
        <v>1633685</v>
      </c>
      <c r="F79" s="4" t="n">
        <v>137325</v>
      </c>
      <c r="G79" s="4" t="n">
        <v>47045</v>
      </c>
      <c r="H79" s="4" t="n">
        <v>32960</v>
      </c>
      <c r="J79" s="5" t="n">
        <f aca="false">F79/E79</f>
        <v>0.0840584323171236</v>
      </c>
      <c r="K79" s="5" t="n">
        <f aca="false">G79/E79</f>
        <v>0.0287968610839911</v>
      </c>
      <c r="L79" s="5" t="n">
        <f aca="false">H79/E79</f>
        <v>0.0201752479823222</v>
      </c>
    </row>
    <row r="80" customFormat="false" ht="13.8" hidden="false" customHeight="false" outlineLevel="0" collapsed="false">
      <c r="C80" s="3" t="n">
        <v>41</v>
      </c>
      <c r="E80" s="4" t="n">
        <v>644530</v>
      </c>
      <c r="F80" s="4" t="n">
        <v>67410</v>
      </c>
      <c r="G80" s="4" t="n">
        <v>22605</v>
      </c>
      <c r="H80" s="4" t="n">
        <v>15850</v>
      </c>
      <c r="J80" s="5" t="n">
        <f aca="false">F80/E80</f>
        <v>0.104587839200658</v>
      </c>
      <c r="K80" s="5" t="n">
        <f aca="false">G80/E80</f>
        <v>0.0350720680185562</v>
      </c>
      <c r="L80" s="5" t="n">
        <f aca="false">H80/E80</f>
        <v>0.0245915628442431</v>
      </c>
    </row>
    <row r="81" customFormat="false" ht="13.8" hidden="false" customHeight="false" outlineLevel="0" collapsed="false">
      <c r="C81" s="3" t="n">
        <v>44</v>
      </c>
      <c r="E81" s="4" t="n">
        <v>2243855</v>
      </c>
      <c r="F81" s="4" t="n">
        <v>135305</v>
      </c>
      <c r="G81" s="4" t="n">
        <v>44400</v>
      </c>
      <c r="H81" s="4" t="n">
        <v>31655</v>
      </c>
      <c r="J81" s="5" t="n">
        <f aca="false">F81/E81</f>
        <v>0.0603002422170773</v>
      </c>
      <c r="K81" s="5" t="n">
        <f aca="false">G81/E81</f>
        <v>0.0197873748526531</v>
      </c>
      <c r="L81" s="5" t="n">
        <f aca="false">H81/E81</f>
        <v>0.014107417814431</v>
      </c>
    </row>
    <row r="82" customFormat="false" ht="13.8" hidden="false" customHeight="false" outlineLevel="0" collapsed="false">
      <c r="C82" s="3" t="n">
        <v>48</v>
      </c>
      <c r="E82" s="4" t="n">
        <v>891295</v>
      </c>
      <c r="F82" s="4" t="n">
        <v>93365</v>
      </c>
      <c r="G82" s="4" t="n">
        <v>37215</v>
      </c>
      <c r="H82" s="4" t="n">
        <v>29160</v>
      </c>
      <c r="J82" s="5" t="n">
        <f aca="false">F82/E82</f>
        <v>0.104752074229071</v>
      </c>
      <c r="K82" s="5" t="n">
        <f aca="false">G82/E82</f>
        <v>0.0417538525404047</v>
      </c>
      <c r="L82" s="5" t="n">
        <f aca="false">H82/E82</f>
        <v>0.0327164406846218</v>
      </c>
    </row>
    <row r="83" customFormat="false" ht="13.8" hidden="false" customHeight="false" outlineLevel="0" collapsed="false">
      <c r="C83" s="3" t="n">
        <v>51</v>
      </c>
      <c r="E83" s="4" t="n">
        <v>397865</v>
      </c>
      <c r="F83" s="4" t="n">
        <v>54620</v>
      </c>
      <c r="G83" s="4" t="n">
        <v>20350</v>
      </c>
      <c r="H83" s="4" t="n">
        <v>13240</v>
      </c>
      <c r="J83" s="5" t="n">
        <f aca="false">F83/E83</f>
        <v>0.137282746660299</v>
      </c>
      <c r="K83" s="5" t="n">
        <f aca="false">G83/E83</f>
        <v>0.051148002463147</v>
      </c>
      <c r="L83" s="5" t="n">
        <f aca="false">H83/E83</f>
        <v>0.0332776192929763</v>
      </c>
    </row>
    <row r="84" customFormat="false" ht="13.8" hidden="false" customHeight="false" outlineLevel="0" collapsed="false">
      <c r="C84" s="3" t="n">
        <v>52</v>
      </c>
      <c r="E84" s="4" t="n">
        <v>760775</v>
      </c>
      <c r="F84" s="4" t="n">
        <v>121235</v>
      </c>
      <c r="G84" s="4" t="n">
        <v>46035</v>
      </c>
      <c r="H84" s="4" t="n">
        <v>28620</v>
      </c>
      <c r="J84" s="5" t="n">
        <f aca="false">F84/E84</f>
        <v>0.159357234399132</v>
      </c>
      <c r="K84" s="5" t="n">
        <f aca="false">G84/E84</f>
        <v>0.0605106634681739</v>
      </c>
      <c r="L84" s="5" t="n">
        <f aca="false">H84/E84</f>
        <v>0.0376195327133515</v>
      </c>
    </row>
    <row r="85" customFormat="false" ht="13.8" hidden="false" customHeight="false" outlineLevel="0" collapsed="false">
      <c r="C85" s="3" t="n">
        <v>53</v>
      </c>
      <c r="E85" s="4" t="n">
        <v>286515</v>
      </c>
      <c r="F85" s="4" t="n">
        <v>24820</v>
      </c>
      <c r="G85" s="4" t="n">
        <v>8385</v>
      </c>
      <c r="H85" s="4" t="n">
        <v>5785</v>
      </c>
      <c r="J85" s="5" t="n">
        <f aca="false">F85/E85</f>
        <v>0.0866272271957838</v>
      </c>
      <c r="K85" s="5" t="n">
        <f aca="false">G85/E85</f>
        <v>0.0292654834825402</v>
      </c>
      <c r="L85" s="5" t="n">
        <f aca="false">H85/E85</f>
        <v>0.0201909149608223</v>
      </c>
    </row>
    <row r="86" customFormat="false" ht="13.8" hidden="false" customHeight="false" outlineLevel="0" collapsed="false">
      <c r="C86" s="3" t="n">
        <v>54</v>
      </c>
      <c r="E86" s="4" t="n">
        <v>1118790</v>
      </c>
      <c r="F86" s="4" t="n">
        <v>151695</v>
      </c>
      <c r="G86" s="4" t="n">
        <v>56420</v>
      </c>
      <c r="H86" s="4" t="n">
        <v>37500</v>
      </c>
      <c r="J86" s="5" t="n">
        <f aca="false">F86/E86</f>
        <v>0.135588448234253</v>
      </c>
      <c r="K86" s="5" t="n">
        <f aca="false">G86/E86</f>
        <v>0.0504294818509282</v>
      </c>
      <c r="L86" s="5" t="n">
        <f aca="false">H86/E86</f>
        <v>0.0335183546510069</v>
      </c>
    </row>
    <row r="87" customFormat="false" ht="13.8" hidden="false" customHeight="false" outlineLevel="0" collapsed="false">
      <c r="C87" s="3" t="n">
        <v>55</v>
      </c>
      <c r="E87" s="4" t="n">
        <v>27910</v>
      </c>
      <c r="F87" s="4" t="n">
        <v>4500</v>
      </c>
      <c r="G87" s="4" t="n">
        <v>1710</v>
      </c>
      <c r="H87" s="4" t="n">
        <v>1055</v>
      </c>
      <c r="J87" s="5" t="n">
        <f aca="false">F87/E87</f>
        <v>0.161232533142243</v>
      </c>
      <c r="K87" s="5" t="n">
        <f aca="false">G87/E87</f>
        <v>0.0612683625940523</v>
      </c>
      <c r="L87" s="5" t="n">
        <f aca="false">H87/E87</f>
        <v>0.0378000716589036</v>
      </c>
    </row>
    <row r="88" customFormat="false" ht="13.8" hidden="false" customHeight="false" outlineLevel="0" collapsed="false">
      <c r="C88" s="3" t="n">
        <v>56</v>
      </c>
      <c r="E88" s="4" t="n">
        <v>825470</v>
      </c>
      <c r="F88" s="4" t="n">
        <v>102060</v>
      </c>
      <c r="G88" s="4" t="n">
        <v>34270</v>
      </c>
      <c r="H88" s="4" t="n">
        <v>25670</v>
      </c>
      <c r="J88" s="5" t="n">
        <f aca="false">F88/E88</f>
        <v>0.123638654342375</v>
      </c>
      <c r="K88" s="5" t="n">
        <f aca="false">G88/E88</f>
        <v>0.0415157425466704</v>
      </c>
      <c r="L88" s="5" t="n">
        <f aca="false">H88/E88</f>
        <v>0.0310974354004385</v>
      </c>
    </row>
    <row r="89" customFormat="false" ht="13.8" hidden="false" customHeight="false" outlineLevel="0" collapsed="false">
      <c r="C89" s="3" t="n">
        <v>61</v>
      </c>
      <c r="E89" s="4" t="n">
        <v>1401935</v>
      </c>
      <c r="F89" s="4" t="n">
        <v>94455</v>
      </c>
      <c r="G89" s="4" t="n">
        <v>34365</v>
      </c>
      <c r="H89" s="4" t="n">
        <v>22555</v>
      </c>
      <c r="J89" s="5" t="n">
        <f aca="false">F89/E89</f>
        <v>0.0673747356332498</v>
      </c>
      <c r="K89" s="5" t="n">
        <f aca="false">G89/E89</f>
        <v>0.0245125487272948</v>
      </c>
      <c r="L89" s="5" t="n">
        <f aca="false">H89/E89</f>
        <v>0.0160884777111635</v>
      </c>
    </row>
    <row r="90" customFormat="false" ht="13.8" hidden="false" customHeight="false" outlineLevel="0" collapsed="false">
      <c r="C90" s="3" t="n">
        <v>62</v>
      </c>
      <c r="E90" s="4" t="n">
        <v>2154005</v>
      </c>
      <c r="F90" s="4" t="n">
        <v>154100</v>
      </c>
      <c r="G90" s="4" t="n">
        <v>53355</v>
      </c>
      <c r="H90" s="4" t="n">
        <v>36645</v>
      </c>
      <c r="J90" s="5" t="n">
        <f aca="false">F90/E90</f>
        <v>0.0715411524114382</v>
      </c>
      <c r="K90" s="5" t="n">
        <f aca="false">G90/E90</f>
        <v>0.0247701374880745</v>
      </c>
      <c r="L90" s="5" t="n">
        <f aca="false">H90/E90</f>
        <v>0.0170124953284695</v>
      </c>
    </row>
    <row r="91" customFormat="false" ht="13.8" hidden="false" customHeight="false" outlineLevel="0" collapsed="false">
      <c r="C91" s="3" t="n">
        <v>71</v>
      </c>
      <c r="E91" s="4" t="n">
        <v>396605</v>
      </c>
      <c r="F91" s="4" t="n">
        <v>31590</v>
      </c>
      <c r="G91" s="4" t="n">
        <v>12110</v>
      </c>
      <c r="H91" s="4" t="n">
        <v>9315</v>
      </c>
      <c r="J91" s="5" t="n">
        <f aca="false">F91/E91</f>
        <v>0.0796510381866089</v>
      </c>
      <c r="K91" s="5" t="n">
        <f aca="false">G91/E91</f>
        <v>0.0305341586717263</v>
      </c>
      <c r="L91" s="5" t="n">
        <f aca="false">H91/E91</f>
        <v>0.0234868445934872</v>
      </c>
    </row>
    <row r="92" customFormat="false" ht="13.8" hidden="false" customHeight="false" outlineLevel="0" collapsed="false">
      <c r="C92" s="3" t="n">
        <v>72</v>
      </c>
      <c r="E92" s="4" t="n">
        <v>1423390</v>
      </c>
      <c r="F92" s="4" t="n">
        <v>89165</v>
      </c>
      <c r="G92" s="4" t="n">
        <v>29630</v>
      </c>
      <c r="H92" s="4" t="n">
        <v>22635</v>
      </c>
      <c r="J92" s="5" t="n">
        <f aca="false">F92/E92</f>
        <v>0.0626427050913664</v>
      </c>
      <c r="K92" s="5" t="n">
        <f aca="false">G92/E92</f>
        <v>0.0208165014507619</v>
      </c>
      <c r="L92" s="5" t="n">
        <f aca="false">H92/E92</f>
        <v>0.0159021771966924</v>
      </c>
    </row>
    <row r="93" customFormat="false" ht="13.8" hidden="false" customHeight="false" outlineLevel="0" collapsed="false">
      <c r="C93" s="3" t="n">
        <v>81</v>
      </c>
      <c r="E93" s="4" t="n">
        <v>795665</v>
      </c>
      <c r="F93" s="4" t="n">
        <v>65440</v>
      </c>
      <c r="G93" s="4" t="n">
        <v>22830</v>
      </c>
      <c r="H93" s="4" t="n">
        <v>16580</v>
      </c>
      <c r="J93" s="5" t="n">
        <f aca="false">F93/E93</f>
        <v>0.0822456687173622</v>
      </c>
      <c r="K93" s="5" t="n">
        <f aca="false">G93/E93</f>
        <v>0.0286929800858401</v>
      </c>
      <c r="L93" s="5" t="n">
        <f aca="false">H93/E93</f>
        <v>0.0208379154543684</v>
      </c>
    </row>
    <row r="94" customFormat="false" ht="13.8" hidden="false" customHeight="false" outlineLevel="0" collapsed="false">
      <c r="C94" s="3" t="n">
        <v>91</v>
      </c>
      <c r="E94" s="4" t="n">
        <v>1209340</v>
      </c>
      <c r="F94" s="4" t="n">
        <v>109360</v>
      </c>
      <c r="G94" s="4" t="n">
        <v>38590</v>
      </c>
      <c r="H94" s="4" t="n">
        <v>24475</v>
      </c>
      <c r="J94" s="5" t="n">
        <f aca="false">F94/E94</f>
        <v>0.090429490465874</v>
      </c>
      <c r="K94" s="5" t="n">
        <f aca="false">G94/E94</f>
        <v>0.0319099674202458</v>
      </c>
      <c r="L94" s="5" t="n">
        <f aca="false">H94/E94</f>
        <v>0.0202383118064399</v>
      </c>
    </row>
    <row r="96" customFormat="false" ht="13.8" hidden="false" customHeight="false" outlineLevel="0" collapsed="false">
      <c r="A96" s="1" t="s">
        <v>79</v>
      </c>
      <c r="B96" s="2" t="s">
        <v>97</v>
      </c>
      <c r="C96" s="3" t="n">
        <v>1</v>
      </c>
      <c r="E96" s="4" t="n">
        <v>1799740</v>
      </c>
      <c r="F96" s="4" t="n">
        <v>176035</v>
      </c>
      <c r="G96" s="4" t="n">
        <v>63925</v>
      </c>
      <c r="H96" s="4" t="n">
        <v>42865</v>
      </c>
      <c r="J96" s="5" t="n">
        <f aca="false">F96/E96</f>
        <v>0.0978113505284096</v>
      </c>
      <c r="K96" s="5" t="n">
        <f aca="false">G96/E96</f>
        <v>0.0355190194139153</v>
      </c>
      <c r="L96" s="5" t="n">
        <f aca="false">H96/E96</f>
        <v>0.023817329169769</v>
      </c>
    </row>
    <row r="97" customFormat="false" ht="13.8" hidden="false" customHeight="false" outlineLevel="0" collapsed="false">
      <c r="C97" s="3" t="n">
        <v>10</v>
      </c>
      <c r="E97" s="4" t="n">
        <v>865075</v>
      </c>
      <c r="F97" s="4" t="n">
        <v>77325</v>
      </c>
      <c r="G97" s="4" t="n">
        <v>27770</v>
      </c>
      <c r="H97" s="4" t="n">
        <v>21140</v>
      </c>
      <c r="J97" s="5" t="n">
        <f aca="false">F97/E97</f>
        <v>0.0893853134121319</v>
      </c>
      <c r="K97" s="5" t="n">
        <f aca="false">G97/E97</f>
        <v>0.0321012628962807</v>
      </c>
      <c r="L97" s="5" t="n">
        <f aca="false">H97/E97</f>
        <v>0.024437187527093</v>
      </c>
    </row>
    <row r="98" customFormat="false" ht="13.8" hidden="false" customHeight="false" outlineLevel="0" collapsed="false">
      <c r="C98" s="3" t="n">
        <v>2</v>
      </c>
      <c r="E98" s="4" t="n">
        <v>2809715</v>
      </c>
      <c r="F98" s="4" t="n">
        <v>295125</v>
      </c>
      <c r="G98" s="4" t="n">
        <v>104410</v>
      </c>
      <c r="H98" s="4" t="n">
        <v>66935</v>
      </c>
      <c r="J98" s="5" t="n">
        <f aca="false">F98/E98</f>
        <v>0.105037343645174</v>
      </c>
      <c r="K98" s="5" t="n">
        <f aca="false">G98/E98</f>
        <v>0.0371603525624485</v>
      </c>
      <c r="L98" s="5" t="n">
        <f aca="false">H98/E98</f>
        <v>0.0238227008789148</v>
      </c>
    </row>
    <row r="99" customFormat="false" ht="13.8" hidden="false" customHeight="false" outlineLevel="0" collapsed="false">
      <c r="C99" s="3" t="n">
        <v>3</v>
      </c>
      <c r="E99" s="4" t="n">
        <v>1200675</v>
      </c>
      <c r="F99" s="4" t="n">
        <v>176840</v>
      </c>
      <c r="G99" s="4" t="n">
        <v>67700</v>
      </c>
      <c r="H99" s="4" t="n">
        <v>45315</v>
      </c>
      <c r="J99" s="5" t="n">
        <f aca="false">F99/E99</f>
        <v>0.147283819518188</v>
      </c>
      <c r="K99" s="5" t="n">
        <f aca="false">G99/E99</f>
        <v>0.0563849501322173</v>
      </c>
      <c r="L99" s="5" t="n">
        <f aca="false">H99/E99</f>
        <v>0.0377412705353239</v>
      </c>
    </row>
    <row r="100" customFormat="false" ht="13.8" hidden="false" customHeight="false" outlineLevel="0" collapsed="false">
      <c r="C100" s="3" t="n">
        <v>4</v>
      </c>
      <c r="E100" s="4" t="n">
        <v>1278845</v>
      </c>
      <c r="F100" s="4" t="n">
        <v>89475</v>
      </c>
      <c r="G100" s="4" t="n">
        <v>31305</v>
      </c>
      <c r="H100" s="4" t="n">
        <v>21665</v>
      </c>
      <c r="J100" s="5" t="n">
        <f aca="false">F100/E100</f>
        <v>0.0699654766605805</v>
      </c>
      <c r="K100" s="5" t="n">
        <f aca="false">G100/E100</f>
        <v>0.0244791198307848</v>
      </c>
      <c r="L100" s="5" t="n">
        <f aca="false">H100/E100</f>
        <v>0.016941067916753</v>
      </c>
    </row>
    <row r="101" customFormat="false" ht="13.8" hidden="false" customHeight="false" outlineLevel="0" collapsed="false">
      <c r="C101" s="3" t="n">
        <v>5</v>
      </c>
      <c r="E101" s="4" t="n">
        <v>2121260</v>
      </c>
      <c r="F101" s="4" t="n">
        <v>160450</v>
      </c>
      <c r="G101" s="4" t="n">
        <v>57580</v>
      </c>
      <c r="H101" s="4" t="n">
        <v>38900</v>
      </c>
      <c r="J101" s="5" t="n">
        <f aca="false">F101/E101</f>
        <v>0.0756390070052705</v>
      </c>
      <c r="K101" s="5" t="n">
        <f aca="false">G101/E101</f>
        <v>0.0271442444584822</v>
      </c>
      <c r="L101" s="5" t="n">
        <f aca="false">H101/E101</f>
        <v>0.0183381575101591</v>
      </c>
    </row>
    <row r="102" customFormat="false" ht="13.8" hidden="false" customHeight="false" outlineLevel="0" collapsed="false">
      <c r="C102" s="3" t="n">
        <v>6</v>
      </c>
      <c r="E102" s="4" t="n">
        <v>511275</v>
      </c>
      <c r="F102" s="4" t="n">
        <v>52250</v>
      </c>
      <c r="G102" s="4" t="n">
        <v>19330</v>
      </c>
      <c r="H102" s="4" t="n">
        <v>14000</v>
      </c>
      <c r="J102" s="5" t="n">
        <f aca="false">F102/E102</f>
        <v>0.102195491662999</v>
      </c>
      <c r="K102" s="5" t="n">
        <f aca="false">G102/E102</f>
        <v>0.0378074421788666</v>
      </c>
      <c r="L102" s="5" t="n">
        <f aca="false">H102/E102</f>
        <v>0.027382524081952</v>
      </c>
    </row>
    <row r="103" customFormat="false" ht="13.8" hidden="false" customHeight="false" outlineLevel="0" collapsed="false">
      <c r="C103" s="3" t="n">
        <v>7</v>
      </c>
      <c r="E103" s="4" t="n">
        <v>4539560</v>
      </c>
      <c r="F103" s="4" t="n">
        <v>340105</v>
      </c>
      <c r="G103" s="4" t="n">
        <v>113695</v>
      </c>
      <c r="H103" s="4" t="n">
        <v>84115</v>
      </c>
      <c r="J103" s="5" t="n">
        <f aca="false">F103/E103</f>
        <v>0.0749202565887443</v>
      </c>
      <c r="K103" s="5" t="n">
        <f aca="false">G103/E103</f>
        <v>0.0250453788472892</v>
      </c>
      <c r="L103" s="5" t="n">
        <f aca="false">H103/E103</f>
        <v>0.0185293288336315</v>
      </c>
    </row>
    <row r="104" customFormat="false" ht="13.8" hidden="false" customHeight="false" outlineLevel="0" collapsed="false">
      <c r="C104" s="3" t="n">
        <v>8</v>
      </c>
      <c r="E104" s="4" t="n">
        <v>2780870</v>
      </c>
      <c r="F104" s="4" t="n">
        <v>348850</v>
      </c>
      <c r="G104" s="4" t="n">
        <v>123685</v>
      </c>
      <c r="H104" s="4" t="n">
        <v>98630</v>
      </c>
      <c r="J104" s="5" t="n">
        <f aca="false">F104/E104</f>
        <v>0.125446353119707</v>
      </c>
      <c r="K104" s="5" t="n">
        <f aca="false">G104/E104</f>
        <v>0.0444770881055209</v>
      </c>
      <c r="L104" s="5" t="n">
        <f aca="false">H104/E104</f>
        <v>0.0354673177818452</v>
      </c>
    </row>
    <row r="105" customFormat="false" ht="13.8" hidden="false" customHeight="false" outlineLevel="0" collapsed="false">
      <c r="C105" s="3" t="n">
        <v>9</v>
      </c>
      <c r="E105" s="4" t="n">
        <v>415880</v>
      </c>
      <c r="F105" s="4" t="n">
        <v>57495</v>
      </c>
      <c r="G105" s="4" t="n">
        <v>26480</v>
      </c>
      <c r="H105" s="4" t="n">
        <v>23300</v>
      </c>
      <c r="J105" s="5" t="n">
        <f aca="false">F105/E105</f>
        <v>0.138249014138694</v>
      </c>
      <c r="K105" s="5" t="n">
        <f aca="false">G105/E105</f>
        <v>0.0636722131384053</v>
      </c>
      <c r="L105" s="5" t="n">
        <f aca="false">H105/E105</f>
        <v>0.0560257766663461</v>
      </c>
    </row>
    <row r="107" customFormat="false" ht="13.8" hidden="false" customHeight="false" outlineLevel="0" collapsed="false">
      <c r="A107" s="1" t="s">
        <v>79</v>
      </c>
      <c r="B107" s="2" t="s">
        <v>98</v>
      </c>
      <c r="C107" s="3" t="s">
        <v>99</v>
      </c>
      <c r="E107" s="4" t="n">
        <v>10163105</v>
      </c>
      <c r="F107" s="4" t="n">
        <v>936720</v>
      </c>
      <c r="G107" s="4" t="n">
        <v>326870</v>
      </c>
      <c r="H107" s="4" t="n">
        <v>223365</v>
      </c>
      <c r="J107" s="5" t="n">
        <f aca="false">F107/E107</f>
        <v>0.0921686827008085</v>
      </c>
      <c r="K107" s="5" t="n">
        <f aca="false">G107/E107</f>
        <v>0.0321624149312636</v>
      </c>
      <c r="L107" s="5" t="n">
        <f aca="false">H107/E107</f>
        <v>0.0219780273843476</v>
      </c>
    </row>
    <row r="108" customFormat="false" ht="13.8" hidden="false" customHeight="false" outlineLevel="0" collapsed="false">
      <c r="C108" s="3" t="s">
        <v>100</v>
      </c>
      <c r="E108" s="4" t="n">
        <v>3174085</v>
      </c>
      <c r="F108" s="4" t="n">
        <v>305425</v>
      </c>
      <c r="G108" s="4" t="n">
        <v>107440</v>
      </c>
      <c r="H108" s="4" t="n">
        <v>77550</v>
      </c>
      <c r="J108" s="5" t="n">
        <f aca="false">F108/E108</f>
        <v>0.0962245812572757</v>
      </c>
      <c r="K108" s="5" t="n">
        <f aca="false">G108/E108</f>
        <v>0.0338491250234319</v>
      </c>
      <c r="L108" s="5" t="n">
        <f aca="false">H108/E108</f>
        <v>0.0244322379520397</v>
      </c>
    </row>
    <row r="109" customFormat="false" ht="13.8" hidden="false" customHeight="false" outlineLevel="0" collapsed="false">
      <c r="C109" s="3" t="s">
        <v>101</v>
      </c>
      <c r="E109" s="4" t="n">
        <v>4985705</v>
      </c>
      <c r="F109" s="4" t="n">
        <v>531805</v>
      </c>
      <c r="G109" s="4" t="n">
        <v>201575</v>
      </c>
      <c r="H109" s="4" t="n">
        <v>155950</v>
      </c>
      <c r="J109" s="5" t="n">
        <f aca="false">F109/E109</f>
        <v>0.106665957973847</v>
      </c>
      <c r="K109" s="5" t="n">
        <f aca="false">G109/E109</f>
        <v>0.0404305910598401</v>
      </c>
      <c r="L109" s="5" t="n">
        <f aca="false">H109/E109</f>
        <v>0.0312794278843213</v>
      </c>
    </row>
    <row r="111" customFormat="false" ht="13.8" hidden="false" customHeight="false" outlineLevel="0" collapsed="false">
      <c r="A111" s="1" t="s">
        <v>102</v>
      </c>
      <c r="B111" s="2" t="s">
        <v>103</v>
      </c>
      <c r="C111" s="3" t="s">
        <v>104</v>
      </c>
      <c r="E111" s="4" t="n">
        <v>9380505</v>
      </c>
      <c r="F111" s="4" t="n">
        <v>900260</v>
      </c>
      <c r="G111" s="4" t="n">
        <v>308440</v>
      </c>
      <c r="H111" s="4" t="n">
        <v>206975</v>
      </c>
      <c r="J111" s="5" t="n">
        <f aca="false">F111/E111</f>
        <v>0.09597137893962</v>
      </c>
      <c r="K111" s="5" t="n">
        <f aca="false">G111/E111</f>
        <v>0.0328809589675609</v>
      </c>
      <c r="L111" s="5" t="n">
        <f aca="false">H111/E111</f>
        <v>0.022064377131082</v>
      </c>
      <c r="N111" s="4"/>
      <c r="O111" s="4"/>
      <c r="P111" s="4"/>
      <c r="Q111" s="4"/>
    </row>
    <row r="112" customFormat="false" ht="13.8" hidden="false" customHeight="false" outlineLevel="0" collapsed="false">
      <c r="C112" s="3" t="s">
        <v>105</v>
      </c>
      <c r="E112" s="4" t="n">
        <v>2726155</v>
      </c>
      <c r="F112" s="4" t="n">
        <v>378385</v>
      </c>
      <c r="G112" s="4" t="n">
        <v>149290</v>
      </c>
      <c r="H112" s="4" t="n">
        <v>117910</v>
      </c>
      <c r="J112" s="5" t="n">
        <f aca="false">F112/E112</f>
        <v>0.138798050734459</v>
      </c>
      <c r="K112" s="5" t="n">
        <f aca="false">G112/E112</f>
        <v>0.0547621100047503</v>
      </c>
      <c r="L112" s="5" t="n">
        <f aca="false">H112/E112</f>
        <v>0.0432513925290382</v>
      </c>
      <c r="N112" s="4"/>
      <c r="O112" s="4"/>
      <c r="P112" s="4"/>
      <c r="Q112" s="4"/>
    </row>
    <row r="113" customFormat="false" ht="13.8" hidden="false" customHeight="false" outlineLevel="0" collapsed="false">
      <c r="C113" s="3" t="s">
        <v>106</v>
      </c>
      <c r="E113" s="4" t="n">
        <v>1867090</v>
      </c>
      <c r="F113" s="4" t="n">
        <v>136980</v>
      </c>
      <c r="G113" s="4" t="n">
        <v>53940</v>
      </c>
      <c r="H113" s="4" t="n">
        <v>43215</v>
      </c>
      <c r="J113" s="5" t="n">
        <f aca="false">F113/E113</f>
        <v>0.0733655046087762</v>
      </c>
      <c r="K113" s="5" t="n">
        <f aca="false">G113/E113</f>
        <v>0.0288898767600919</v>
      </c>
      <c r="L113" s="5" t="n">
        <f aca="false">H113/E113</f>
        <v>0.0231456437557911</v>
      </c>
      <c r="N113" s="4"/>
      <c r="O113" s="4"/>
      <c r="P113" s="4"/>
      <c r="Q113" s="4"/>
    </row>
    <row r="114" customFormat="false" ht="13.8" hidden="false" customHeight="false" outlineLevel="0" collapsed="false">
      <c r="C114" s="3" t="s">
        <v>107</v>
      </c>
      <c r="E114" s="4" t="n">
        <v>566120</v>
      </c>
      <c r="F114" s="4" t="n">
        <v>60365</v>
      </c>
      <c r="G114" s="4" t="n">
        <v>25690</v>
      </c>
      <c r="H114" s="4" t="n">
        <v>21325</v>
      </c>
      <c r="J114" s="5" t="n">
        <f aca="false">F114/E114</f>
        <v>0.106629336536423</v>
      </c>
      <c r="K114" s="5" t="n">
        <f aca="false">G114/E114</f>
        <v>0.0453790715749311</v>
      </c>
      <c r="L114" s="5" t="n">
        <f aca="false">H114/E114</f>
        <v>0.0376686921500742</v>
      </c>
      <c r="N114" s="4"/>
      <c r="O114" s="4"/>
      <c r="P114" s="4"/>
      <c r="Q114" s="4"/>
    </row>
    <row r="115" customFormat="false" ht="13.8" hidden="false" customHeight="false" outlineLevel="0" collapsed="false">
      <c r="C115" s="3" t="s">
        <v>108</v>
      </c>
      <c r="E115" s="4" t="n">
        <v>394585</v>
      </c>
      <c r="F115" s="4" t="n">
        <v>37010</v>
      </c>
      <c r="G115" s="4" t="n">
        <v>14610</v>
      </c>
      <c r="H115" s="4" t="n">
        <v>11660</v>
      </c>
      <c r="J115" s="5" t="n">
        <f aca="false">F115/E115</f>
        <v>0.0937947463791072</v>
      </c>
      <c r="K115" s="5" t="n">
        <f aca="false">G115/E115</f>
        <v>0.0370262427613822</v>
      </c>
      <c r="L115" s="5" t="n">
        <f aca="false">H115/E115</f>
        <v>0.0295500335795836</v>
      </c>
      <c r="N115" s="4"/>
      <c r="O115" s="4"/>
      <c r="P115" s="4"/>
      <c r="Q115" s="4"/>
    </row>
    <row r="116" customFormat="false" ht="13.8" hidden="false" customHeight="false" outlineLevel="0" collapsed="false">
      <c r="C116" s="3" t="s">
        <v>109</v>
      </c>
      <c r="E116" s="4" t="n">
        <v>3388440</v>
      </c>
      <c r="F116" s="4" t="n">
        <v>260945</v>
      </c>
      <c r="G116" s="4" t="n">
        <v>83915</v>
      </c>
      <c r="H116" s="4" t="n">
        <v>55775</v>
      </c>
      <c r="J116" s="5" t="n">
        <f aca="false">F116/E116</f>
        <v>0.0770103646515801</v>
      </c>
      <c r="K116" s="5" t="n">
        <f aca="false">G116/E116</f>
        <v>0.024765083637308</v>
      </c>
      <c r="L116" s="5" t="n">
        <f aca="false">H116/E116</f>
        <v>0.0164603770466645</v>
      </c>
      <c r="N116" s="4"/>
      <c r="O116" s="4"/>
      <c r="P116" s="4"/>
      <c r="Q116" s="4"/>
    </row>
    <row r="118" customFormat="false" ht="13.8" hidden="false" customHeight="false" outlineLevel="0" collapsed="false">
      <c r="A118" s="1" t="s">
        <v>30</v>
      </c>
      <c r="B118" s="2" t="s">
        <v>110</v>
      </c>
      <c r="C118" s="3" t="s">
        <v>104</v>
      </c>
      <c r="E118" s="4" t="n">
        <v>8870690</v>
      </c>
      <c r="F118" s="4" t="n">
        <v>685140</v>
      </c>
      <c r="G118" s="4" t="n">
        <v>210015</v>
      </c>
      <c r="H118" s="4" t="n">
        <v>137265</v>
      </c>
      <c r="J118" s="5" t="n">
        <f aca="false">F118/E118</f>
        <v>0.0772363818372641</v>
      </c>
      <c r="K118" s="5" t="n">
        <f aca="false">G118/E118</f>
        <v>0.023675159429537</v>
      </c>
      <c r="L118" s="5" t="n">
        <f aca="false">H118/E118</f>
        <v>0.0154739935675804</v>
      </c>
    </row>
    <row r="119" customFormat="false" ht="13.8" hidden="false" customHeight="false" outlineLevel="0" collapsed="false">
      <c r="C119" s="3" t="s">
        <v>105</v>
      </c>
      <c r="E119" s="4" t="n">
        <v>2081165</v>
      </c>
      <c r="F119" s="4" t="n">
        <v>123780</v>
      </c>
      <c r="G119" s="4" t="n">
        <v>38580</v>
      </c>
      <c r="H119" s="4" t="n">
        <v>29790</v>
      </c>
      <c r="J119" s="5" t="n">
        <f aca="false">F119/E119</f>
        <v>0.0594763029360959</v>
      </c>
      <c r="K119" s="5" t="n">
        <f aca="false">G119/E119</f>
        <v>0.0185376940319485</v>
      </c>
      <c r="L119" s="5" t="n">
        <f aca="false">H119/E119</f>
        <v>0.0143140981133163</v>
      </c>
    </row>
    <row r="120" customFormat="false" ht="13.8" hidden="false" customHeight="false" outlineLevel="0" collapsed="false">
      <c r="C120" s="3" t="s">
        <v>106</v>
      </c>
      <c r="E120" s="4" t="n">
        <v>1861795</v>
      </c>
      <c r="F120" s="4" t="n">
        <v>132765</v>
      </c>
      <c r="G120" s="4" t="n">
        <v>50350</v>
      </c>
      <c r="H120" s="4" t="n">
        <v>39695</v>
      </c>
      <c r="J120" s="5" t="n">
        <f aca="false">F120/E120</f>
        <v>0.0713102140676068</v>
      </c>
      <c r="K120" s="5" t="n">
        <f aca="false">G120/E120</f>
        <v>0.0270437937581742</v>
      </c>
      <c r="L120" s="5" t="n">
        <f aca="false">H120/E120</f>
        <v>0.0213208221098456</v>
      </c>
    </row>
    <row r="121" customFormat="false" ht="13.8" hidden="false" customHeight="false" outlineLevel="0" collapsed="false">
      <c r="C121" s="3" t="s">
        <v>107</v>
      </c>
      <c r="E121" s="4" t="n">
        <v>533820</v>
      </c>
      <c r="F121" s="4" t="n">
        <v>42175</v>
      </c>
      <c r="G121" s="4" t="n">
        <v>16550</v>
      </c>
      <c r="H121" s="4" t="n">
        <v>13365</v>
      </c>
      <c r="J121" s="5" t="n">
        <f aca="false">F121/E121</f>
        <v>0.0790060319958038</v>
      </c>
      <c r="K121" s="5" t="n">
        <f aca="false">G121/E121</f>
        <v>0.0310029597991832</v>
      </c>
      <c r="L121" s="5" t="n">
        <f aca="false">H121/E121</f>
        <v>0.025036529167135</v>
      </c>
    </row>
    <row r="122" customFormat="false" ht="13.8" hidden="false" customHeight="false" outlineLevel="0" collapsed="false">
      <c r="C122" s="3" t="s">
        <v>108</v>
      </c>
      <c r="E122" s="4" t="n">
        <v>527025</v>
      </c>
      <c r="F122" s="4" t="n">
        <v>109905</v>
      </c>
      <c r="G122" s="4" t="n">
        <v>57150</v>
      </c>
      <c r="H122" s="4" t="n">
        <v>47200</v>
      </c>
      <c r="J122" s="5" t="n">
        <f aca="false">F122/E122</f>
        <v>0.208538494378825</v>
      </c>
      <c r="K122" s="5" t="n">
        <f aca="false">G122/E122</f>
        <v>0.108438878611072</v>
      </c>
      <c r="L122" s="5" t="n">
        <f aca="false">H122/E122</f>
        <v>0.0895593188178929</v>
      </c>
    </row>
    <row r="123" customFormat="false" ht="13.8" hidden="false" customHeight="false" outlineLevel="0" collapsed="false">
      <c r="C123" s="3" t="s">
        <v>109</v>
      </c>
      <c r="E123" s="4" t="n">
        <v>4448400</v>
      </c>
      <c r="F123" s="4" t="n">
        <v>680185</v>
      </c>
      <c r="G123" s="4" t="n">
        <v>263235</v>
      </c>
      <c r="H123" s="4" t="n">
        <v>189545</v>
      </c>
      <c r="J123" s="5" t="n">
        <f aca="false">F123/E123</f>
        <v>0.152905539070227</v>
      </c>
      <c r="K123" s="5" t="n">
        <f aca="false">G123/E123</f>
        <v>0.0591752090639331</v>
      </c>
      <c r="L123" s="5" t="n">
        <f aca="false">H123/E123</f>
        <v>0.0426097023648952</v>
      </c>
    </row>
    <row r="125" customFormat="false" ht="13.8" hidden="false" customHeight="false" outlineLevel="0" collapsed="false">
      <c r="A125" s="1" t="s">
        <v>102</v>
      </c>
      <c r="B125" s="2" t="s">
        <v>111</v>
      </c>
      <c r="C125" s="3" t="s">
        <v>112</v>
      </c>
      <c r="E125" s="4" t="n">
        <v>13259010</v>
      </c>
      <c r="F125" s="4" t="n">
        <v>923835</v>
      </c>
      <c r="G125" s="4" t="n">
        <v>301870</v>
      </c>
      <c r="H125" s="4" t="n">
        <v>217370</v>
      </c>
      <c r="J125" s="5" t="n">
        <f aca="false">F125/E125</f>
        <v>0.0696760165351712</v>
      </c>
      <c r="K125" s="5" t="n">
        <f aca="false">G125/E125</f>
        <v>0.0227671598407423</v>
      </c>
      <c r="L125" s="5" t="n">
        <f aca="false">H125/E125</f>
        <v>0.0163941350070631</v>
      </c>
    </row>
    <row r="126" customFormat="false" ht="13.8" hidden="false" customHeight="false" outlineLevel="0" collapsed="false">
      <c r="C126" s="3" t="s">
        <v>113</v>
      </c>
      <c r="E126" s="4" t="n">
        <v>1140570</v>
      </c>
      <c r="F126" s="4" t="n">
        <v>82070</v>
      </c>
      <c r="G126" s="4" t="n">
        <v>28260</v>
      </c>
      <c r="H126" s="4" t="n">
        <v>21895</v>
      </c>
      <c r="J126" s="5" t="n">
        <f aca="false">F126/E126</f>
        <v>0.071955250444953</v>
      </c>
      <c r="K126" s="5" t="n">
        <f aca="false">G126/E126</f>
        <v>0.0247770851416397</v>
      </c>
      <c r="L126" s="5" t="n">
        <f aca="false">H126/E126</f>
        <v>0.0191965420798373</v>
      </c>
    </row>
    <row r="127" customFormat="false" ht="13.8" hidden="false" customHeight="false" outlineLevel="0" collapsed="false">
      <c r="C127" s="3" t="s">
        <v>114</v>
      </c>
      <c r="E127" s="4" t="n">
        <v>2363570</v>
      </c>
      <c r="F127" s="4" t="n">
        <v>706585</v>
      </c>
      <c r="G127" s="4" t="n">
        <v>271910</v>
      </c>
      <c r="H127" s="4" t="n">
        <v>186930</v>
      </c>
      <c r="J127" s="5" t="n">
        <f aca="false">F127/E127</f>
        <v>0.298948201237958</v>
      </c>
      <c r="K127" s="5" t="n">
        <f aca="false">G127/E127</f>
        <v>0.11504207618137</v>
      </c>
      <c r="L127" s="5" t="n">
        <f aca="false">H127/E127</f>
        <v>0.0790879897781745</v>
      </c>
    </row>
    <row r="128" customFormat="false" ht="13.8" hidden="false" customHeight="false" outlineLevel="0" collapsed="false">
      <c r="C128" s="3" t="s">
        <v>115</v>
      </c>
      <c r="E128" s="4" t="n">
        <v>1065745</v>
      </c>
      <c r="F128" s="4" t="n">
        <v>10540</v>
      </c>
      <c r="G128" s="4" t="n">
        <v>3015</v>
      </c>
      <c r="H128" s="4" t="n">
        <v>2180</v>
      </c>
      <c r="J128" s="5" t="n">
        <f aca="false">F128/E128</f>
        <v>0.00988979540133897</v>
      </c>
      <c r="K128" s="5" t="n">
        <f aca="false">G128/E128</f>
        <v>0.00282900693880806</v>
      </c>
      <c r="L128" s="5" t="n">
        <f aca="false">H128/E128</f>
        <v>0.0020455174549259</v>
      </c>
    </row>
    <row r="129" customFormat="false" ht="13.8" hidden="false" customHeight="false" outlineLevel="0" collapsed="false">
      <c r="C129" s="3" t="s">
        <v>116</v>
      </c>
      <c r="E129" s="4" t="n">
        <v>261615</v>
      </c>
      <c r="F129" s="4" t="n">
        <v>6385</v>
      </c>
      <c r="G129" s="4" t="n">
        <v>1510</v>
      </c>
      <c r="H129" s="4" t="n">
        <v>1000</v>
      </c>
      <c r="J129" s="5" t="n">
        <f aca="false">F129/E129</f>
        <v>0.0244060929228064</v>
      </c>
      <c r="K129" s="5" t="n">
        <f aca="false">G129/E129</f>
        <v>0.00577184029967701</v>
      </c>
      <c r="L129" s="5" t="n">
        <f aca="false">H129/E129</f>
        <v>0.00382241079448808</v>
      </c>
    </row>
    <row r="130" customFormat="false" ht="13.8" hidden="false" customHeight="false" outlineLevel="0" collapsed="false">
      <c r="C130" s="3" t="s">
        <v>117</v>
      </c>
      <c r="E130" s="4" t="n">
        <v>232390</v>
      </c>
      <c r="F130" s="4" t="n">
        <v>44530</v>
      </c>
      <c r="G130" s="4" t="n">
        <v>29315</v>
      </c>
      <c r="H130" s="4" t="n">
        <v>27490</v>
      </c>
      <c r="J130" s="5" t="n">
        <f aca="false">F130/E130</f>
        <v>0.191617539481045</v>
      </c>
      <c r="K130" s="5" t="n">
        <f aca="false">G130/E130</f>
        <v>0.126145703343517</v>
      </c>
      <c r="L130" s="5" t="n">
        <f aca="false">H130/E130</f>
        <v>0.118292525495934</v>
      </c>
    </row>
    <row r="132" customFormat="false" ht="13.8" hidden="false" customHeight="false" outlineLevel="0" collapsed="false">
      <c r="A132" s="1" t="s">
        <v>10</v>
      </c>
      <c r="B132" s="2" t="s">
        <v>118</v>
      </c>
      <c r="C132" s="3" t="s">
        <v>30</v>
      </c>
      <c r="E132" s="4" t="n">
        <v>17065340</v>
      </c>
      <c r="F132" s="4" t="n">
        <v>1636930</v>
      </c>
      <c r="G132" s="4" t="n">
        <v>587565</v>
      </c>
      <c r="H132" s="4" t="n">
        <v>419180</v>
      </c>
      <c r="J132" s="5" t="n">
        <f aca="false">F132/E132</f>
        <v>0.095921323571637</v>
      </c>
      <c r="K132" s="5" t="n">
        <f aca="false">G132/E132</f>
        <v>0.0344303131376228</v>
      </c>
      <c r="L132" s="5" t="n">
        <f aca="false">H132/E132</f>
        <v>0.0245632375329176</v>
      </c>
    </row>
    <row r="133" customFormat="false" ht="13.8" hidden="false" customHeight="false" outlineLevel="0" collapsed="false">
      <c r="C133" s="3" t="s">
        <v>119</v>
      </c>
      <c r="E133" s="4" t="n">
        <v>1059550</v>
      </c>
      <c r="F133" s="4" t="n">
        <v>123670</v>
      </c>
      <c r="G133" s="4" t="n">
        <v>41730</v>
      </c>
      <c r="H133" s="4" t="n">
        <v>31715</v>
      </c>
      <c r="J133" s="5" t="n">
        <f aca="false">F133/E133</f>
        <v>0.116719361993299</v>
      </c>
      <c r="K133" s="5" t="n">
        <f aca="false">G133/E133</f>
        <v>0.0393846444245198</v>
      </c>
      <c r="L133" s="5" t="n">
        <f aca="false">H133/E133</f>
        <v>0.0299325185220141</v>
      </c>
    </row>
    <row r="134" customFormat="false" ht="13.8" hidden="false" customHeight="false" outlineLevel="0" collapsed="false">
      <c r="C134" s="3" t="s">
        <v>120</v>
      </c>
      <c r="E134" s="4" t="n">
        <v>198005</v>
      </c>
      <c r="F134" s="4" t="n">
        <v>13345</v>
      </c>
      <c r="G134" s="4" t="n">
        <v>6590</v>
      </c>
      <c r="H134" s="4" t="n">
        <v>5965</v>
      </c>
      <c r="J134" s="5" t="n">
        <f aca="false">F134/E134</f>
        <v>0.0673972879472741</v>
      </c>
      <c r="K134" s="5" t="n">
        <f aca="false">G134/E134</f>
        <v>0.0332819878285902</v>
      </c>
      <c r="L134" s="5" t="n">
        <f aca="false">H134/E134</f>
        <v>0.0301255018812656</v>
      </c>
    </row>
    <row r="136" customFormat="false" ht="13.8" hidden="false" customHeight="false" outlineLevel="0" collapsed="false">
      <c r="A136" s="1" t="s">
        <v>30</v>
      </c>
      <c r="B136" s="2" t="s">
        <v>121</v>
      </c>
      <c r="C136" s="3" t="s">
        <v>30</v>
      </c>
      <c r="E136" s="4" t="n">
        <v>16617210</v>
      </c>
      <c r="F136" s="4" t="n">
        <v>1600090</v>
      </c>
      <c r="G136" s="4" t="n">
        <v>573545</v>
      </c>
      <c r="H136" s="4" t="n">
        <v>408215</v>
      </c>
      <c r="J136" s="5" t="n">
        <f aca="false">F136/E136</f>
        <v>0.0962911343119573</v>
      </c>
      <c r="K136" s="5" t="n">
        <f aca="false">G136/E136</f>
        <v>0.0345151201675853</v>
      </c>
      <c r="L136" s="5" t="n">
        <f aca="false">H136/E136</f>
        <v>0.0245657965446666</v>
      </c>
    </row>
    <row r="137" customFormat="false" ht="13.8" hidden="false" customHeight="false" outlineLevel="0" collapsed="false">
      <c r="C137" s="3" t="s">
        <v>119</v>
      </c>
      <c r="E137" s="4" t="n">
        <v>1507680</v>
      </c>
      <c r="F137" s="4" t="n">
        <v>160515</v>
      </c>
      <c r="G137" s="4" t="n">
        <v>55745</v>
      </c>
      <c r="H137" s="4" t="n">
        <v>42685</v>
      </c>
      <c r="J137" s="5" t="n">
        <f aca="false">F137/E137</f>
        <v>0.106464899713467</v>
      </c>
      <c r="K137" s="5" t="n">
        <f aca="false">G137/E137</f>
        <v>0.0369740263185822</v>
      </c>
      <c r="L137" s="5" t="n">
        <f aca="false">H137/E137</f>
        <v>0.0283117107078425</v>
      </c>
    </row>
    <row r="138" customFormat="false" ht="13.8" hidden="false" customHeight="false" outlineLevel="0" collapsed="false">
      <c r="C138" s="3" t="s">
        <v>120</v>
      </c>
      <c r="E138" s="4" t="n">
        <v>198005</v>
      </c>
      <c r="F138" s="4" t="n">
        <v>13345</v>
      </c>
      <c r="G138" s="4" t="n">
        <v>6590</v>
      </c>
      <c r="H138" s="4" t="n">
        <v>5965</v>
      </c>
      <c r="J138" s="5" t="n">
        <f aca="false">F138/E138</f>
        <v>0.0673972879472741</v>
      </c>
      <c r="K138" s="5" t="n">
        <f aca="false">G138/E138</f>
        <v>0.0332819878285902</v>
      </c>
      <c r="L138" s="5" t="n">
        <f aca="false">H138/E138</f>
        <v>0.0301255018812656</v>
      </c>
    </row>
    <row r="140" customFormat="false" ht="13.8" hidden="false" customHeight="false" outlineLevel="0" collapsed="false">
      <c r="A140" s="1" t="s">
        <v>10</v>
      </c>
      <c r="B140" s="2" t="s">
        <v>122</v>
      </c>
      <c r="C140" s="3" t="s">
        <v>123</v>
      </c>
      <c r="E140" s="4" t="n">
        <v>4313975</v>
      </c>
      <c r="F140" s="4" t="n">
        <v>390140</v>
      </c>
      <c r="G140" s="4" t="n">
        <v>147375</v>
      </c>
      <c r="H140" s="4" t="n">
        <v>106370</v>
      </c>
      <c r="J140" s="5" t="n">
        <f aca="false">F140/E140</f>
        <v>0.0904363145358979</v>
      </c>
      <c r="K140" s="5" t="n">
        <f aca="false">G140/E140</f>
        <v>0.0341622285710974</v>
      </c>
      <c r="L140" s="5" t="n">
        <f aca="false">H140/E140</f>
        <v>0.0246570738124352</v>
      </c>
    </row>
    <row r="141" customFormat="false" ht="13.8" hidden="false" customHeight="false" outlineLevel="0" collapsed="false">
      <c r="C141" s="3" t="s">
        <v>124</v>
      </c>
      <c r="E141" s="4" t="n">
        <v>6477410</v>
      </c>
      <c r="F141" s="4" t="n">
        <v>666535</v>
      </c>
      <c r="G141" s="4" t="n">
        <v>234600</v>
      </c>
      <c r="H141" s="4" t="n">
        <v>164420</v>
      </c>
      <c r="J141" s="5" t="n">
        <f aca="false">F141/E141</f>
        <v>0.102901468333794</v>
      </c>
      <c r="K141" s="5" t="n">
        <f aca="false">G141/E141</f>
        <v>0.036218179797172</v>
      </c>
      <c r="L141" s="5" t="n">
        <f aca="false">H141/E141</f>
        <v>0.0253836023966369</v>
      </c>
    </row>
    <row r="142" customFormat="false" ht="13.8" hidden="false" customHeight="false" outlineLevel="0" collapsed="false">
      <c r="C142" s="3" t="s">
        <v>125</v>
      </c>
      <c r="E142" s="4" t="n">
        <v>1036805</v>
      </c>
      <c r="F142" s="4" t="n">
        <v>102415</v>
      </c>
      <c r="G142" s="4" t="n">
        <v>36245</v>
      </c>
      <c r="H142" s="4" t="n">
        <v>26150</v>
      </c>
      <c r="J142" s="5" t="n">
        <f aca="false">F142/E142</f>
        <v>0.0987794233245403</v>
      </c>
      <c r="K142" s="5" t="n">
        <f aca="false">G142/E142</f>
        <v>0.0349583576468092</v>
      </c>
      <c r="L142" s="5" t="n">
        <f aca="false">H142/E142</f>
        <v>0.0252217147872551</v>
      </c>
    </row>
    <row r="143" customFormat="false" ht="13.8" hidden="false" customHeight="false" outlineLevel="0" collapsed="false">
      <c r="C143" s="3" t="s">
        <v>126</v>
      </c>
      <c r="E143" s="4" t="n">
        <v>2214725</v>
      </c>
      <c r="F143" s="4" t="n">
        <v>202020</v>
      </c>
      <c r="G143" s="4" t="n">
        <v>69020</v>
      </c>
      <c r="H143" s="4" t="n">
        <v>50485</v>
      </c>
      <c r="J143" s="5" t="n">
        <f aca="false">F143/E143</f>
        <v>0.0912167424849586</v>
      </c>
      <c r="K143" s="5" t="n">
        <f aca="false">G143/E143</f>
        <v>0.0311641400173836</v>
      </c>
      <c r="L143" s="5" t="n">
        <f aca="false">H143/E143</f>
        <v>0.0227951551547032</v>
      </c>
    </row>
    <row r="144" customFormat="false" ht="13.8" hidden="false" customHeight="false" outlineLevel="0" collapsed="false">
      <c r="C144" s="3" t="s">
        <v>127</v>
      </c>
      <c r="E144" s="4" t="n">
        <v>879440</v>
      </c>
      <c r="F144" s="4" t="n">
        <v>97045</v>
      </c>
      <c r="G144" s="4" t="n">
        <v>33525</v>
      </c>
      <c r="H144" s="4" t="n">
        <v>25215</v>
      </c>
      <c r="J144" s="5" t="n">
        <f aca="false">F144/E144</f>
        <v>0.110348630946966</v>
      </c>
      <c r="K144" s="5" t="n">
        <f aca="false">G144/E144</f>
        <v>0.0381208496315837</v>
      </c>
      <c r="L144" s="5" t="n">
        <f aca="false">H144/E144</f>
        <v>0.0286716546893478</v>
      </c>
    </row>
    <row r="145" customFormat="false" ht="13.8" hidden="false" customHeight="false" outlineLevel="0" collapsed="false">
      <c r="C145" s="3" t="s">
        <v>128</v>
      </c>
      <c r="E145" s="4" t="n">
        <v>2106370</v>
      </c>
      <c r="F145" s="4" t="n">
        <v>177940</v>
      </c>
      <c r="G145" s="4" t="n">
        <v>67395</v>
      </c>
      <c r="H145" s="4" t="n">
        <v>48005</v>
      </c>
      <c r="J145" s="5" t="n">
        <f aca="false">F145/E145</f>
        <v>0.0844770861719451</v>
      </c>
      <c r="K145" s="5" t="n">
        <f aca="false">G145/E145</f>
        <v>0.0319958032064642</v>
      </c>
      <c r="L145" s="5" t="n">
        <f aca="false">H145/E145</f>
        <v>0.0227903929509061</v>
      </c>
    </row>
    <row r="146" customFormat="false" ht="13.8" hidden="false" customHeight="false" outlineLevel="0" collapsed="false">
      <c r="C146" s="3" t="s">
        <v>129</v>
      </c>
      <c r="E146" s="4" t="n">
        <v>940155</v>
      </c>
      <c r="F146" s="4" t="n">
        <v>93680</v>
      </c>
      <c r="G146" s="4" t="n">
        <v>31940</v>
      </c>
      <c r="H146" s="4" t="n">
        <v>24080</v>
      </c>
      <c r="J146" s="5" t="n">
        <f aca="false">F146/E146</f>
        <v>0.0996431439496679</v>
      </c>
      <c r="K146" s="5" t="n">
        <f aca="false">G146/E146</f>
        <v>0.0339731214533774</v>
      </c>
      <c r="L146" s="5" t="n">
        <f aca="false">H146/E146</f>
        <v>0.0256127978897097</v>
      </c>
    </row>
    <row r="147" customFormat="false" ht="13.8" hidden="false" customHeight="false" outlineLevel="0" collapsed="false">
      <c r="C147" s="3" t="s">
        <v>130</v>
      </c>
      <c r="E147" s="4" t="n">
        <v>354015</v>
      </c>
      <c r="F147" s="4" t="n">
        <v>44170</v>
      </c>
      <c r="G147" s="4" t="n">
        <v>15780</v>
      </c>
      <c r="H147" s="4" t="n">
        <v>12140</v>
      </c>
      <c r="J147" s="5" t="n">
        <f aca="false">F147/E147</f>
        <v>0.124768724489075</v>
      </c>
      <c r="K147" s="5" t="n">
        <f aca="false">G147/E147</f>
        <v>0.044574382441422</v>
      </c>
      <c r="L147" s="5" t="n">
        <f aca="false">H147/E147</f>
        <v>0.0342923322458088</v>
      </c>
    </row>
    <row r="149" customFormat="false" ht="13.8" hidden="false" customHeight="false" outlineLevel="0" collapsed="false">
      <c r="A149" s="1" t="s">
        <v>35</v>
      </c>
      <c r="B149" s="2" t="s">
        <v>131</v>
      </c>
      <c r="C149" s="3" t="n">
        <v>0</v>
      </c>
      <c r="E149" s="4" t="n">
        <v>12575975</v>
      </c>
      <c r="F149" s="4" t="n">
        <v>1185125</v>
      </c>
      <c r="G149" s="4" t="n">
        <v>429945</v>
      </c>
      <c r="H149" s="4" t="n">
        <v>313730</v>
      </c>
      <c r="J149" s="5" t="n">
        <f aca="false">F149/E149</f>
        <v>0.094237226139524</v>
      </c>
      <c r="K149" s="5" t="n">
        <f aca="false">G149/E149</f>
        <v>0.0341878065120199</v>
      </c>
      <c r="L149" s="5" t="n">
        <f aca="false">H149/E149</f>
        <v>0.0249467735106026</v>
      </c>
    </row>
    <row r="150" customFormat="false" ht="13.8" hidden="false" customHeight="false" outlineLevel="0" collapsed="false">
      <c r="C150" s="3" t="n">
        <v>1</v>
      </c>
      <c r="E150" s="4" t="n">
        <v>2430195</v>
      </c>
      <c r="F150" s="4" t="n">
        <v>256445</v>
      </c>
      <c r="G150" s="4" t="n">
        <v>90215</v>
      </c>
      <c r="H150" s="4" t="n">
        <v>63260</v>
      </c>
      <c r="J150" s="5" t="n">
        <f aca="false">F150/E150</f>
        <v>0.105524453798975</v>
      </c>
      <c r="K150" s="5" t="n">
        <f aca="false">G150/E150</f>
        <v>0.0371225354343993</v>
      </c>
      <c r="L150" s="5" t="n">
        <f aca="false">H150/E150</f>
        <v>0.0260308329167001</v>
      </c>
    </row>
    <row r="151" customFormat="false" ht="13.8" hidden="false" customHeight="false" outlineLevel="0" collapsed="false">
      <c r="C151" s="3" t="n">
        <v>2</v>
      </c>
      <c r="E151" s="4" t="n">
        <v>2428165</v>
      </c>
      <c r="F151" s="4" t="n">
        <v>245565</v>
      </c>
      <c r="G151" s="4" t="n">
        <v>84920</v>
      </c>
      <c r="H151" s="4" t="n">
        <v>57760</v>
      </c>
      <c r="J151" s="5" t="n">
        <f aca="false">F151/E151</f>
        <v>0.10113192472505</v>
      </c>
      <c r="K151" s="5" t="n">
        <f aca="false">G151/E151</f>
        <v>0.0349729116431544</v>
      </c>
      <c r="L151" s="5" t="n">
        <f aca="false">H151/E151</f>
        <v>0.0237875103215803</v>
      </c>
    </row>
    <row r="152" customFormat="false" ht="13.8" hidden="false" customHeight="false" outlineLevel="0" collapsed="false">
      <c r="C152" s="3" t="n">
        <v>3</v>
      </c>
      <c r="E152" s="4" t="n">
        <v>691785</v>
      </c>
      <c r="F152" s="4" t="n">
        <v>67935</v>
      </c>
      <c r="G152" s="4" t="n">
        <v>23865</v>
      </c>
      <c r="H152" s="4" t="n">
        <v>16805</v>
      </c>
      <c r="J152" s="5" t="n">
        <f aca="false">F152/E152</f>
        <v>0.0982024762028665</v>
      </c>
      <c r="K152" s="5" t="n">
        <f aca="false">G152/E152</f>
        <v>0.0344977124395585</v>
      </c>
      <c r="L152" s="5" t="n">
        <f aca="false">H152/E152</f>
        <v>0.0242922295221781</v>
      </c>
    </row>
    <row r="153" customFormat="false" ht="13.8" hidden="false" customHeight="false" outlineLevel="0" collapsed="false">
      <c r="C153" s="3" t="s">
        <v>132</v>
      </c>
      <c r="E153" s="4" t="n">
        <v>196780</v>
      </c>
      <c r="F153" s="4" t="n">
        <v>18875</v>
      </c>
      <c r="G153" s="4" t="n">
        <v>6940</v>
      </c>
      <c r="H153" s="4" t="n">
        <v>5310</v>
      </c>
      <c r="J153" s="5" t="n">
        <f aca="false">F153/E153</f>
        <v>0.0959193007419453</v>
      </c>
      <c r="K153" s="5" t="n">
        <f aca="false">G153/E153</f>
        <v>0.0352678117694888</v>
      </c>
      <c r="L153" s="5" t="n">
        <f aca="false">H153/E153</f>
        <v>0.026984449639191</v>
      </c>
    </row>
    <row r="155" customFormat="false" ht="13.8" hidden="false" customHeight="false" outlineLevel="0" collapsed="false">
      <c r="A155" s="1" t="s">
        <v>10</v>
      </c>
      <c r="B155" s="2" t="s">
        <v>133</v>
      </c>
      <c r="C155" s="3" t="s">
        <v>30</v>
      </c>
      <c r="E155" s="4" t="n">
        <v>16507350</v>
      </c>
      <c r="F155" s="4" t="n">
        <v>1570180</v>
      </c>
      <c r="G155" s="4" t="n">
        <v>563325</v>
      </c>
      <c r="H155" s="4" t="n">
        <v>400795</v>
      </c>
      <c r="J155" s="5" t="n">
        <f aca="false">F155/E155</f>
        <v>0.0951200525826374</v>
      </c>
      <c r="K155" s="5" t="n">
        <f aca="false">G155/E155</f>
        <v>0.0341257076393243</v>
      </c>
      <c r="L155" s="5" t="n">
        <f aca="false">H155/E155</f>
        <v>0.0242797905175573</v>
      </c>
    </row>
    <row r="156" customFormat="false" ht="13.8" hidden="false" customHeight="false" outlineLevel="0" collapsed="false">
      <c r="C156" s="3" t="s">
        <v>119</v>
      </c>
      <c r="E156" s="4" t="n">
        <v>1227675</v>
      </c>
      <c r="F156" s="4" t="n">
        <v>145605</v>
      </c>
      <c r="G156" s="4" t="n">
        <v>50560</v>
      </c>
      <c r="H156" s="4" t="n">
        <v>38435</v>
      </c>
      <c r="J156" s="5" t="n">
        <f aca="false">F156/E156</f>
        <v>0.118602235933777</v>
      </c>
      <c r="K156" s="5" t="n">
        <f aca="false">G156/E156</f>
        <v>0.0411835379884742</v>
      </c>
      <c r="L156" s="5" t="n">
        <f aca="false">H156/E156</f>
        <v>0.0313071456207873</v>
      </c>
    </row>
    <row r="157" customFormat="false" ht="13.8" hidden="false" customHeight="false" outlineLevel="0" collapsed="false">
      <c r="C157" s="3" t="s">
        <v>120</v>
      </c>
      <c r="E157" s="4" t="n">
        <v>587875</v>
      </c>
      <c r="F157" s="4" t="n">
        <v>58165</v>
      </c>
      <c r="G157" s="4" t="n">
        <v>22000</v>
      </c>
      <c r="H157" s="4" t="n">
        <v>17635</v>
      </c>
      <c r="J157" s="5" t="n">
        <f aca="false">F157/E157</f>
        <v>0.0989411014246226</v>
      </c>
      <c r="K157" s="5" t="n">
        <f aca="false">G157/E157</f>
        <v>0.0374229215394429</v>
      </c>
      <c r="L157" s="5" t="n">
        <f aca="false">H157/E157</f>
        <v>0.0299978736976398</v>
      </c>
    </row>
    <row r="159" customFormat="false" ht="13.8" hidden="false" customHeight="false" outlineLevel="0" collapsed="false">
      <c r="A159" s="1" t="s">
        <v>134</v>
      </c>
      <c r="B159" s="2" t="s">
        <v>135</v>
      </c>
      <c r="C159" s="3" t="s">
        <v>136</v>
      </c>
      <c r="E159" s="4" t="n">
        <v>11031600</v>
      </c>
      <c r="F159" s="4" t="n">
        <v>1023885</v>
      </c>
      <c r="G159" s="4" t="n">
        <v>380700</v>
      </c>
      <c r="H159" s="4" t="n">
        <v>275820</v>
      </c>
      <c r="J159" s="5" t="n">
        <f aca="false">F159/E159</f>
        <v>0.0928138257369738</v>
      </c>
      <c r="K159" s="5" t="n">
        <f aca="false">G159/E159</f>
        <v>0.0345099532252801</v>
      </c>
      <c r="L159" s="5" t="n">
        <f aca="false">H159/E159</f>
        <v>0.025002719460459</v>
      </c>
    </row>
    <row r="160" customFormat="false" ht="13.8" hidden="false" customHeight="false" outlineLevel="0" collapsed="false">
      <c r="C160" s="3" t="s">
        <v>137</v>
      </c>
      <c r="E160" s="4" t="n">
        <v>2238945</v>
      </c>
      <c r="F160" s="4" t="n">
        <v>251525</v>
      </c>
      <c r="G160" s="4" t="n">
        <v>89060</v>
      </c>
      <c r="H160" s="4" t="n">
        <v>62870</v>
      </c>
      <c r="J160" s="5" t="n">
        <f aca="false">F160/E160</f>
        <v>0.112340856966116</v>
      </c>
      <c r="K160" s="5" t="n">
        <f aca="false">G160/E160</f>
        <v>0.0397776631404523</v>
      </c>
      <c r="L160" s="5" t="n">
        <f aca="false">H160/E160</f>
        <v>0.0280801895535621</v>
      </c>
    </row>
    <row r="161" customFormat="false" ht="13.8" hidden="false" customHeight="false" outlineLevel="0" collapsed="false">
      <c r="C161" s="3" t="s">
        <v>138</v>
      </c>
      <c r="E161" s="4" t="n">
        <v>4807665</v>
      </c>
      <c r="F161" s="4" t="n">
        <v>478460</v>
      </c>
      <c r="G161" s="4" t="n">
        <v>157980</v>
      </c>
      <c r="H161" s="4" t="n">
        <v>111520</v>
      </c>
      <c r="J161" s="5" t="n">
        <f aca="false">F161/E161</f>
        <v>0.0995202452749932</v>
      </c>
      <c r="K161" s="5" t="n">
        <f aca="false">G161/E161</f>
        <v>0.0328600266449513</v>
      </c>
      <c r="L161" s="5" t="n">
        <f aca="false">H161/E161</f>
        <v>0.0231962917549372</v>
      </c>
    </row>
    <row r="162" customFormat="false" ht="13.8" hidden="false" customHeight="false" outlineLevel="0" collapsed="false">
      <c r="C162" s="3" t="s">
        <v>139</v>
      </c>
      <c r="E162" s="4" t="n">
        <v>244685</v>
      </c>
      <c r="F162" s="4" t="n">
        <v>20080</v>
      </c>
      <c r="G162" s="4" t="n">
        <v>8135</v>
      </c>
      <c r="H162" s="4" t="n">
        <v>6655</v>
      </c>
      <c r="J162" s="5" t="n">
        <f aca="false">F162/E162</f>
        <v>0.0820646954247298</v>
      </c>
      <c r="K162" s="5" t="n">
        <f aca="false">G162/E162</f>
        <v>0.0332468275537937</v>
      </c>
      <c r="L162" s="5" t="n">
        <f aca="false">H162/E162</f>
        <v>0.0271982344647199</v>
      </c>
    </row>
    <row r="164" customFormat="false" ht="13.8" hidden="false" customHeight="false" outlineLevel="0" collapsed="false">
      <c r="A164" s="1" t="s">
        <v>10</v>
      </c>
      <c r="B164" s="2" t="s">
        <v>140</v>
      </c>
      <c r="C164" s="3" t="s">
        <v>141</v>
      </c>
      <c r="E164" s="4" t="n">
        <v>13467855</v>
      </c>
      <c r="F164" s="4" t="n">
        <v>1301860</v>
      </c>
      <c r="G164" s="4" t="n">
        <v>472475</v>
      </c>
      <c r="H164" s="4" t="n">
        <v>336630</v>
      </c>
      <c r="J164" s="5" t="n">
        <f aca="false">F164/E164</f>
        <v>0.0966642423756418</v>
      </c>
      <c r="K164" s="5" t="n">
        <f aca="false">G164/E164</f>
        <v>0.0350816815298353</v>
      </c>
      <c r="L164" s="5" t="n">
        <f aca="false">H164/E164</f>
        <v>0.0249950715982612</v>
      </c>
    </row>
    <row r="165" customFormat="false" ht="13.8" hidden="false" customHeight="false" outlineLevel="0" collapsed="false">
      <c r="C165" s="3" t="s">
        <v>142</v>
      </c>
      <c r="E165" s="4" t="n">
        <v>4458035</v>
      </c>
      <c r="F165" s="4" t="n">
        <v>430990</v>
      </c>
      <c r="G165" s="4" t="n">
        <v>148330</v>
      </c>
      <c r="H165" s="4" t="n">
        <v>108115</v>
      </c>
      <c r="J165" s="5" t="n">
        <f aca="false">F165/E165</f>
        <v>0.0966771234411574</v>
      </c>
      <c r="K165" s="5" t="n">
        <f aca="false">G165/E165</f>
        <v>0.0332725068331675</v>
      </c>
      <c r="L165" s="5" t="n">
        <f aca="false">H165/E165</f>
        <v>0.0242517162830709</v>
      </c>
    </row>
    <row r="166" customFormat="false" ht="13.8" hidden="false" customHeight="false" outlineLevel="0" collapsed="false">
      <c r="C166" s="3" t="s">
        <v>143</v>
      </c>
      <c r="E166" s="4" t="n">
        <v>328585</v>
      </c>
      <c r="F166" s="4" t="n">
        <v>35745</v>
      </c>
      <c r="G166" s="4" t="n">
        <v>12570</v>
      </c>
      <c r="H166" s="4" t="n">
        <v>9840</v>
      </c>
      <c r="J166" s="5" t="n">
        <f aca="false">F166/E166</f>
        <v>0.108784637156291</v>
      </c>
      <c r="K166" s="5" t="n">
        <f aca="false">G166/E166</f>
        <v>0.0382549416437147</v>
      </c>
      <c r="L166" s="5" t="n">
        <f aca="false">H166/E166</f>
        <v>0.0299465891626215</v>
      </c>
    </row>
    <row r="167" customFormat="false" ht="13.8" hidden="false" customHeight="false" outlineLevel="0" collapsed="false">
      <c r="C167" s="3" t="s">
        <v>144</v>
      </c>
      <c r="E167" s="4" t="n">
        <v>68425</v>
      </c>
      <c r="F167" s="4" t="n">
        <v>5355</v>
      </c>
      <c r="G167" s="4" t="n">
        <v>2505</v>
      </c>
      <c r="H167" s="4" t="n">
        <v>2280</v>
      </c>
      <c r="J167" s="5" t="n">
        <f aca="false">F167/E167</f>
        <v>0.0782608695652174</v>
      </c>
      <c r="K167" s="5" t="n">
        <f aca="false">G167/E167</f>
        <v>0.0366094263792473</v>
      </c>
      <c r="L167" s="5" t="n">
        <f aca="false">H167/E167</f>
        <v>0.033321154548776</v>
      </c>
    </row>
    <row r="168" customFormat="false" ht="13.8" hidden="false" customHeight="false" outlineLevel="0" collapsed="false">
      <c r="E168" s="4" t="n">
        <f aca="false">E167+E166</f>
        <v>397010</v>
      </c>
      <c r="F168" s="4" t="n">
        <f aca="false">F167+F166</f>
        <v>41100</v>
      </c>
      <c r="G168" s="4" t="n">
        <f aca="false">G167+G166</f>
        <v>15075</v>
      </c>
      <c r="H168" s="4" t="n">
        <f aca="false">H167+H166</f>
        <v>12120</v>
      </c>
      <c r="I168" s="4"/>
      <c r="J168" s="5" t="n">
        <f aca="false">F168/E168</f>
        <v>0.103523840709302</v>
      </c>
      <c r="K168" s="5" t="n">
        <f aca="false">G168/E168</f>
        <v>0.0379713357346163</v>
      </c>
      <c r="L168" s="5" t="n">
        <f aca="false">H168/E168</f>
        <v>0.0305281982821591</v>
      </c>
    </row>
    <row r="169" customFormat="false" ht="13.8" hidden="false" customHeight="false" outlineLevel="0" collapsed="false">
      <c r="A169" s="1" t="s">
        <v>134</v>
      </c>
      <c r="B169" s="2" t="s">
        <v>145</v>
      </c>
      <c r="C169" s="3" t="s">
        <v>146</v>
      </c>
      <c r="E169" s="4" t="n">
        <v>6558185</v>
      </c>
      <c r="F169" s="4" t="n">
        <v>942370</v>
      </c>
      <c r="G169" s="4" t="n">
        <v>310575</v>
      </c>
      <c r="H169" s="4" t="n">
        <v>207425</v>
      </c>
      <c r="J169" s="5" t="n">
        <f aca="false">F169/E169</f>
        <v>0.143693720137508</v>
      </c>
      <c r="K169" s="5" t="n">
        <f aca="false">G169/E169</f>
        <v>0.047356852543806</v>
      </c>
      <c r="L169" s="5" t="n">
        <f aca="false">H169/E169</f>
        <v>0.0316284154838572</v>
      </c>
    </row>
    <row r="170" customFormat="false" ht="13.8" hidden="false" customHeight="false" outlineLevel="0" collapsed="false">
      <c r="C170" s="3" t="s">
        <v>147</v>
      </c>
      <c r="E170" s="4" t="n">
        <v>3515635</v>
      </c>
      <c r="F170" s="4" t="n">
        <v>238495</v>
      </c>
      <c r="G170" s="4" t="n">
        <v>74485</v>
      </c>
      <c r="H170" s="4" t="n">
        <v>55035</v>
      </c>
      <c r="J170" s="5" t="n">
        <f aca="false">F170/E170</f>
        <v>0.067838384815261</v>
      </c>
      <c r="K170" s="5" t="n">
        <f aca="false">G170/E170</f>
        <v>0.0211867841798139</v>
      </c>
      <c r="L170" s="5" t="n">
        <f aca="false">H170/E170</f>
        <v>0.0156543554720555</v>
      </c>
    </row>
    <row r="171" customFormat="false" ht="13.8" hidden="false" customHeight="false" outlineLevel="0" collapsed="false">
      <c r="C171" s="3" t="s">
        <v>148</v>
      </c>
      <c r="E171" s="4" t="n">
        <v>3210495</v>
      </c>
      <c r="F171" s="4" t="n">
        <v>204675</v>
      </c>
      <c r="G171" s="4" t="n">
        <v>84370</v>
      </c>
      <c r="H171" s="4" t="n">
        <v>64660</v>
      </c>
      <c r="J171" s="5" t="n">
        <f aca="false">F171/E171</f>
        <v>0.0637518513500255</v>
      </c>
      <c r="K171" s="5" t="n">
        <f aca="false">G171/E171</f>
        <v>0.0262794366600789</v>
      </c>
      <c r="L171" s="5" t="n">
        <f aca="false">H171/E171</f>
        <v>0.0201401964494572</v>
      </c>
    </row>
    <row r="172" customFormat="false" ht="13.8" hidden="false" customHeight="false" outlineLevel="0" collapsed="false">
      <c r="C172" s="3" t="s">
        <v>149</v>
      </c>
      <c r="E172" s="4" t="n">
        <v>2193675</v>
      </c>
      <c r="F172" s="4" t="n">
        <v>132010</v>
      </c>
      <c r="G172" s="4" t="n">
        <v>56310</v>
      </c>
      <c r="H172" s="4" t="n">
        <v>44240</v>
      </c>
      <c r="J172" s="5" t="n">
        <f aca="false">F172/E172</f>
        <v>0.060177555927838</v>
      </c>
      <c r="K172" s="5" t="n">
        <f aca="false">G172/E172</f>
        <v>0.0256692536496974</v>
      </c>
      <c r="L172" s="5" t="n">
        <f aca="false">H172/E172</f>
        <v>0.0201670712389028</v>
      </c>
    </row>
    <row r="173" customFormat="false" ht="13.8" hidden="false" customHeight="false" outlineLevel="0" collapsed="false">
      <c r="C173" s="3" t="s">
        <v>150</v>
      </c>
      <c r="E173" s="4" t="n">
        <v>2844910</v>
      </c>
      <c r="F173" s="4" t="n">
        <v>256400</v>
      </c>
      <c r="G173" s="4" t="n">
        <v>110140</v>
      </c>
      <c r="H173" s="4" t="n">
        <v>85510</v>
      </c>
      <c r="J173" s="5" t="n">
        <f aca="false">F173/E173</f>
        <v>0.090125873929228</v>
      </c>
      <c r="K173" s="5" t="n">
        <f aca="false">G173/E173</f>
        <v>0.0387147572330935</v>
      </c>
      <c r="L173" s="5" t="n">
        <f aca="false">H173/E173</f>
        <v>0.0300571898583786</v>
      </c>
    </row>
  </sheetData>
  <mergeCells count="3">
    <mergeCell ref="E1:H1"/>
    <mergeCell ref="J1:L1"/>
    <mergeCell ref="R1:U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P8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1" activeCellId="0" sqref="D1"/>
    </sheetView>
  </sheetViews>
  <sheetFormatPr defaultColWidth="9.16015625" defaultRowHeight="13.8" zeroHeight="false" outlineLevelRow="0" outlineLevelCol="0"/>
  <cols>
    <col collapsed="false" customWidth="true" hidden="false" outlineLevel="0" max="2" min="2" style="15" width="24.47"/>
    <col collapsed="false" customWidth="true" hidden="false" outlineLevel="0" max="3" min="3" style="0" width="10.69"/>
    <col collapsed="false" customWidth="true" hidden="false" outlineLevel="0" max="4" min="4" style="0" width="9.48"/>
    <col collapsed="false" customWidth="true" hidden="false" outlineLevel="0" max="5" min="5" style="0" width="3.09"/>
    <col collapsed="false" customWidth="true" hidden="false" outlineLevel="0" max="6" min="6" style="0" width="24.15"/>
    <col collapsed="false" customWidth="true" hidden="false" outlineLevel="0" max="7" min="7" style="0" width="10.69"/>
    <col collapsed="false" customWidth="true" hidden="false" outlineLevel="0" max="8" min="8" style="0" width="9.37"/>
    <col collapsed="false" customWidth="true" hidden="false" outlineLevel="0" max="9" min="9" style="0" width="22.97"/>
    <col collapsed="false" customWidth="true" hidden="false" outlineLevel="0" max="10" min="10" style="15" width="28.47"/>
    <col collapsed="false" customWidth="true" hidden="false" outlineLevel="0" max="11" min="11" style="0" width="10.83"/>
    <col collapsed="false" customWidth="true" hidden="false" outlineLevel="0" max="13" min="13" style="0" width="3.85"/>
    <col collapsed="false" customWidth="true" hidden="false" outlineLevel="0" max="14" min="14" style="0" width="18.7"/>
  </cols>
  <sheetData>
    <row r="2" customFormat="false" ht="13.8" hidden="false" customHeight="false" outlineLevel="0" collapsed="false">
      <c r="A2" s="2"/>
      <c r="B2" s="16"/>
      <c r="C2" s="10" t="s">
        <v>151</v>
      </c>
      <c r="D2" s="10" t="s">
        <v>152</v>
      </c>
      <c r="F2" s="16"/>
      <c r="G2" s="10" t="s">
        <v>151</v>
      </c>
      <c r="H2" s="10" t="s">
        <v>152</v>
      </c>
      <c r="K2" s="10" t="s">
        <v>151</v>
      </c>
      <c r="L2" s="10" t="s">
        <v>152</v>
      </c>
      <c r="O2" s="10" t="s">
        <v>151</v>
      </c>
      <c r="P2" s="10" t="s">
        <v>152</v>
      </c>
    </row>
    <row r="3" customFormat="false" ht="13.8" hidden="false" customHeight="false" outlineLevel="0" collapsed="false">
      <c r="A3" s="2"/>
      <c r="B3" s="17" t="s">
        <v>11</v>
      </c>
      <c r="C3" s="4"/>
      <c r="D3" s="5"/>
      <c r="F3" s="17" t="s">
        <v>153</v>
      </c>
      <c r="J3" s="17" t="s">
        <v>72</v>
      </c>
      <c r="L3" s="5"/>
      <c r="N3" s="17" t="s">
        <v>96</v>
      </c>
      <c r="O3" s="4"/>
    </row>
    <row r="4" customFormat="false" ht="13.8" hidden="false" customHeight="false" outlineLevel="0" collapsed="false">
      <c r="B4" s="16" t="s">
        <v>12</v>
      </c>
      <c r="C4" s="4" t="n">
        <v>8804620</v>
      </c>
      <c r="D4" s="5" t="n">
        <v>0.0817326585360867</v>
      </c>
      <c r="F4" s="16" t="s">
        <v>30</v>
      </c>
      <c r="G4" s="4" t="n">
        <v>17065340</v>
      </c>
      <c r="H4" s="5" t="n">
        <v>0.095921323571637</v>
      </c>
      <c r="J4" s="16" t="s">
        <v>154</v>
      </c>
      <c r="K4" s="4" t="n">
        <v>4850785</v>
      </c>
      <c r="L4" s="5" t="n">
        <v>0.0876229311338268</v>
      </c>
      <c r="N4" s="16" t="n">
        <v>11</v>
      </c>
      <c r="O4" s="4" t="n">
        <v>299975</v>
      </c>
      <c r="P4" s="5" t="n">
        <v>0.121493457788149</v>
      </c>
    </row>
    <row r="5" customFormat="false" ht="13.8" hidden="false" customHeight="false" outlineLevel="0" collapsed="false">
      <c r="A5" s="13"/>
      <c r="B5" s="16" t="s">
        <v>14</v>
      </c>
      <c r="C5" s="4" t="n">
        <v>9518275</v>
      </c>
      <c r="D5" s="5" t="n">
        <v>0.110768495341856</v>
      </c>
      <c r="F5" s="16" t="s">
        <v>119</v>
      </c>
      <c r="G5" s="4" t="n">
        <v>1059550</v>
      </c>
      <c r="H5" s="5" t="n">
        <v>0.116719361993299</v>
      </c>
      <c r="J5" s="16" t="s">
        <v>155</v>
      </c>
      <c r="K5" s="4" t="n">
        <v>2113485</v>
      </c>
      <c r="L5" s="5" t="n">
        <v>0.0874763719638417</v>
      </c>
      <c r="N5" s="16" t="n">
        <v>21</v>
      </c>
      <c r="O5" s="4" t="n">
        <v>278100</v>
      </c>
      <c r="P5" s="5" t="n">
        <v>0.211362819129809</v>
      </c>
    </row>
    <row r="6" customFormat="false" ht="13.8" hidden="false" customHeight="false" outlineLevel="0" collapsed="false">
      <c r="A6" s="13"/>
      <c r="B6" s="17" t="s">
        <v>18</v>
      </c>
      <c r="C6" s="4"/>
      <c r="D6" s="5"/>
      <c r="F6" s="16" t="s">
        <v>156</v>
      </c>
      <c r="G6" s="4" t="n">
        <v>198005</v>
      </c>
      <c r="H6" s="5" t="n">
        <v>0.0673972879472741</v>
      </c>
      <c r="J6" s="16" t="s">
        <v>157</v>
      </c>
      <c r="K6" s="4" t="n">
        <v>1953805</v>
      </c>
      <c r="L6" s="5" t="n">
        <v>0.105770534930559</v>
      </c>
      <c r="N6" s="16" t="n">
        <v>22</v>
      </c>
      <c r="O6" s="4" t="n">
        <v>141800</v>
      </c>
      <c r="P6" s="5" t="n">
        <v>0.133744710860367</v>
      </c>
    </row>
    <row r="7" customFormat="false" ht="13.8" hidden="false" customHeight="false" outlineLevel="0" collapsed="false">
      <c r="B7" s="16" t="s">
        <v>158</v>
      </c>
      <c r="C7" s="4" t="n">
        <v>2876525</v>
      </c>
      <c r="D7" s="5" t="n">
        <v>0.0786400257254847</v>
      </c>
      <c r="F7" s="17" t="s">
        <v>159</v>
      </c>
      <c r="G7" s="4"/>
      <c r="H7" s="5"/>
      <c r="J7" s="16" t="s">
        <v>160</v>
      </c>
      <c r="K7" s="4" t="n">
        <v>4530285</v>
      </c>
      <c r="L7" s="5" t="n">
        <v>0.0984286860539679</v>
      </c>
      <c r="N7" s="16" t="n">
        <v>23</v>
      </c>
      <c r="O7" s="4" t="n">
        <v>1391390</v>
      </c>
      <c r="P7" s="5" t="n">
        <v>0.160501369134463</v>
      </c>
    </row>
    <row r="8" customFormat="false" ht="13.8" hidden="false" customHeight="false" outlineLevel="0" collapsed="false">
      <c r="A8" s="2"/>
      <c r="B8" s="16" t="s">
        <v>161</v>
      </c>
      <c r="C8" s="4" t="n">
        <v>3823280</v>
      </c>
      <c r="D8" s="5" t="n">
        <v>0.103065953840681</v>
      </c>
      <c r="F8" s="16" t="s">
        <v>30</v>
      </c>
      <c r="G8" s="4" t="n">
        <v>16507350</v>
      </c>
      <c r="H8" s="5" t="n">
        <v>0.0951200525826374</v>
      </c>
      <c r="I8" s="2"/>
      <c r="J8" s="16" t="s">
        <v>162</v>
      </c>
      <c r="K8" s="4" t="n">
        <v>3298890</v>
      </c>
      <c r="L8" s="5" t="n">
        <v>0.104382080032981</v>
      </c>
      <c r="N8" s="16" t="n">
        <v>31</v>
      </c>
      <c r="O8" s="4" t="n">
        <v>1633685</v>
      </c>
      <c r="P8" s="5" t="n">
        <v>0.0840584323171236</v>
      </c>
    </row>
    <row r="9" customFormat="false" ht="13.8" hidden="false" customHeight="false" outlineLevel="0" collapsed="false">
      <c r="A9" s="2"/>
      <c r="B9" s="16" t="s">
        <v>163</v>
      </c>
      <c r="C9" s="4" t="n">
        <v>3680925</v>
      </c>
      <c r="D9" s="5" t="n">
        <v>0.104711451605235</v>
      </c>
      <c r="F9" s="16" t="s">
        <v>119</v>
      </c>
      <c r="G9" s="4" t="n">
        <v>1227675</v>
      </c>
      <c r="H9" s="5" t="n">
        <v>0.118602235933777</v>
      </c>
      <c r="I9" s="2"/>
      <c r="J9" s="16" t="s">
        <v>164</v>
      </c>
      <c r="K9" s="4" t="n">
        <v>1575650</v>
      </c>
      <c r="L9" s="5" t="n">
        <v>0.10606099070225</v>
      </c>
      <c r="N9" s="16" t="n">
        <v>41</v>
      </c>
      <c r="O9" s="4" t="n">
        <v>644530</v>
      </c>
      <c r="P9" s="5" t="n">
        <v>0.104587839200658</v>
      </c>
    </row>
    <row r="10" customFormat="false" ht="13.8" hidden="false" customHeight="false" outlineLevel="0" collapsed="false">
      <c r="A10" s="2"/>
      <c r="B10" s="16" t="s">
        <v>165</v>
      </c>
      <c r="C10" s="4" t="n">
        <v>3969650</v>
      </c>
      <c r="D10" s="5" t="n">
        <v>0.100784703941154</v>
      </c>
      <c r="F10" s="16" t="s">
        <v>156</v>
      </c>
      <c r="G10" s="4" t="n">
        <v>587875</v>
      </c>
      <c r="H10" s="5" t="n">
        <v>0.0989411014246226</v>
      </c>
      <c r="I10" s="2"/>
      <c r="J10" s="17" t="s">
        <v>166</v>
      </c>
      <c r="N10" s="16" t="n">
        <v>44</v>
      </c>
      <c r="O10" s="4" t="n">
        <v>2243855</v>
      </c>
      <c r="P10" s="5" t="n">
        <v>0.0603002422170773</v>
      </c>
    </row>
    <row r="11" customFormat="false" ht="13.8" hidden="false" customHeight="false" outlineLevel="0" collapsed="false">
      <c r="A11" s="2"/>
      <c r="B11" s="16" t="s">
        <v>167</v>
      </c>
      <c r="C11" s="4" t="n">
        <v>3074575</v>
      </c>
      <c r="D11" s="5" t="n">
        <v>0.0946033191579324</v>
      </c>
      <c r="F11" s="17" t="s">
        <v>70</v>
      </c>
      <c r="I11" s="2"/>
      <c r="J11" s="16" t="s">
        <v>32</v>
      </c>
      <c r="K11" s="4" t="n">
        <v>10689345</v>
      </c>
      <c r="L11" s="5" t="n">
        <v>0.092660027344987</v>
      </c>
      <c r="N11" s="16" t="n">
        <v>48</v>
      </c>
      <c r="O11" s="4" t="n">
        <v>891295</v>
      </c>
      <c r="P11" s="5" t="n">
        <v>0.104752074229071</v>
      </c>
    </row>
    <row r="12" customFormat="false" ht="13.8" hidden="false" customHeight="false" outlineLevel="0" collapsed="false">
      <c r="A12" s="2"/>
      <c r="B12" s="16" t="s">
        <v>168</v>
      </c>
      <c r="C12" s="4" t="n">
        <v>897940</v>
      </c>
      <c r="D12" s="5" t="n">
        <v>0.0860970666191505</v>
      </c>
      <c r="F12" s="16" t="s">
        <v>169</v>
      </c>
      <c r="G12" s="4" t="n">
        <v>17096860</v>
      </c>
      <c r="H12" s="5" t="n">
        <v>0.0962977997129297</v>
      </c>
      <c r="I12" s="2"/>
      <c r="J12" s="16" t="s">
        <v>33</v>
      </c>
      <c r="K12" s="4" t="n">
        <v>7633550</v>
      </c>
      <c r="L12" s="5" t="n">
        <v>0.102635733046879</v>
      </c>
      <c r="N12" s="16" t="n">
        <v>51</v>
      </c>
      <c r="O12" s="4" t="n">
        <v>397865</v>
      </c>
      <c r="P12" s="5" t="n">
        <v>0.137282746660299</v>
      </c>
    </row>
    <row r="13" customFormat="false" ht="13.8" hidden="false" customHeight="false" outlineLevel="0" collapsed="false">
      <c r="A13" s="2"/>
      <c r="B13" s="17" t="s">
        <v>122</v>
      </c>
      <c r="C13" s="4"/>
      <c r="D13" s="5"/>
      <c r="F13" s="16" t="s">
        <v>170</v>
      </c>
      <c r="G13" s="4" t="n">
        <v>1113825</v>
      </c>
      <c r="H13" s="5" t="n">
        <v>0.103023365429937</v>
      </c>
      <c r="J13" s="17" t="s">
        <v>83</v>
      </c>
      <c r="N13" s="16" t="n">
        <v>52</v>
      </c>
      <c r="O13" s="4" t="n">
        <v>760775</v>
      </c>
      <c r="P13" s="5" t="n">
        <v>0.159357234399132</v>
      </c>
    </row>
    <row r="14" customFormat="false" ht="13.8" hidden="false" customHeight="false" outlineLevel="0" collapsed="false">
      <c r="B14" s="16" t="s">
        <v>171</v>
      </c>
      <c r="C14" s="4" t="n">
        <v>4313975</v>
      </c>
      <c r="D14" s="5" t="n">
        <v>0.0904363145358979</v>
      </c>
      <c r="F14" s="16" t="s">
        <v>172</v>
      </c>
      <c r="G14" s="4" t="n">
        <v>112215</v>
      </c>
      <c r="H14" s="5" t="n">
        <v>0.114111304192844</v>
      </c>
      <c r="J14" s="16" t="s">
        <v>84</v>
      </c>
      <c r="K14" s="4" t="n">
        <v>3955500</v>
      </c>
      <c r="L14" s="5" t="n">
        <v>0.0741044115788143</v>
      </c>
      <c r="N14" s="16" t="n">
        <v>53</v>
      </c>
      <c r="O14" s="4" t="n">
        <v>286515</v>
      </c>
      <c r="P14" s="5" t="n">
        <v>0.0866272271957838</v>
      </c>
    </row>
    <row r="15" customFormat="false" ht="13.8" hidden="false" customHeight="false" outlineLevel="0" collapsed="false">
      <c r="A15" s="2"/>
      <c r="B15" s="16" t="s">
        <v>173</v>
      </c>
      <c r="C15" s="4" t="n">
        <v>6477410</v>
      </c>
      <c r="D15" s="5" t="n">
        <v>0.102901468333794</v>
      </c>
      <c r="F15" s="17" t="s">
        <v>103</v>
      </c>
      <c r="I15" s="2"/>
      <c r="J15" s="16" t="s">
        <v>85</v>
      </c>
      <c r="K15" s="4" t="n">
        <v>13833930</v>
      </c>
      <c r="L15" s="5" t="n">
        <v>0.10286375599703</v>
      </c>
      <c r="N15" s="16" t="n">
        <v>54</v>
      </c>
      <c r="O15" s="4" t="n">
        <v>1118790</v>
      </c>
      <c r="P15" s="5" t="n">
        <v>0.135588448234253</v>
      </c>
    </row>
    <row r="16" customFormat="false" ht="13.8" hidden="false" customHeight="false" outlineLevel="0" collapsed="false">
      <c r="A16" s="2"/>
      <c r="B16" s="16" t="s">
        <v>174</v>
      </c>
      <c r="C16" s="4" t="n">
        <v>1036805</v>
      </c>
      <c r="D16" s="5" t="n">
        <v>0.0987794233245403</v>
      </c>
      <c r="F16" s="16" t="s">
        <v>175</v>
      </c>
      <c r="G16" s="4" t="n">
        <v>9380505</v>
      </c>
      <c r="H16" s="5" t="n">
        <v>0.09597137893962</v>
      </c>
      <c r="J16" s="16" t="s">
        <v>86</v>
      </c>
      <c r="K16" s="4" t="n">
        <v>533470</v>
      </c>
      <c r="L16" s="5" t="n">
        <v>0.108384726413856</v>
      </c>
      <c r="N16" s="16" t="n">
        <v>55</v>
      </c>
      <c r="O16" s="4" t="n">
        <v>27910</v>
      </c>
      <c r="P16" s="5" t="n">
        <v>0.161232533142243</v>
      </c>
    </row>
    <row r="17" customFormat="false" ht="13.8" hidden="false" customHeight="false" outlineLevel="0" collapsed="false">
      <c r="A17" s="2"/>
      <c r="B17" s="16" t="s">
        <v>176</v>
      </c>
      <c r="C17" s="4" t="n">
        <v>2214725</v>
      </c>
      <c r="D17" s="5" t="n">
        <v>0.0912167424849586</v>
      </c>
      <c r="F17" s="16" t="s">
        <v>177</v>
      </c>
      <c r="G17" s="4" t="n">
        <v>2726155</v>
      </c>
      <c r="H17" s="5" t="n">
        <v>0.138798050734459</v>
      </c>
      <c r="J17" s="17" t="s">
        <v>97</v>
      </c>
      <c r="K17" s="4"/>
      <c r="L17" s="5"/>
      <c r="N17" s="16" t="n">
        <v>56</v>
      </c>
      <c r="O17" s="4" t="n">
        <v>825470</v>
      </c>
      <c r="P17" s="5" t="n">
        <v>0.123638654342375</v>
      </c>
    </row>
    <row r="18" customFormat="false" ht="13.8" hidden="false" customHeight="false" outlineLevel="0" collapsed="false">
      <c r="A18" s="2"/>
      <c r="B18" s="16" t="s">
        <v>178</v>
      </c>
      <c r="C18" s="4" t="n">
        <v>879440</v>
      </c>
      <c r="D18" s="5" t="n">
        <v>0.110348630946966</v>
      </c>
      <c r="F18" s="16" t="s">
        <v>179</v>
      </c>
      <c r="G18" s="4" t="n">
        <v>1867090</v>
      </c>
      <c r="H18" s="5" t="n">
        <v>0.0733655046087762</v>
      </c>
      <c r="I18" s="2"/>
      <c r="J18" s="16" t="n">
        <v>1</v>
      </c>
      <c r="K18" s="4" t="n">
        <v>1799740</v>
      </c>
      <c r="L18" s="5" t="n">
        <v>0.0978113505284096</v>
      </c>
      <c r="N18" s="16" t="n">
        <v>61</v>
      </c>
      <c r="O18" s="4" t="n">
        <v>1401935</v>
      </c>
      <c r="P18" s="5" t="n">
        <v>0.0673747356332498</v>
      </c>
    </row>
    <row r="19" customFormat="false" ht="13.8" hidden="false" customHeight="false" outlineLevel="0" collapsed="false">
      <c r="A19" s="2"/>
      <c r="B19" s="16" t="s">
        <v>180</v>
      </c>
      <c r="C19" s="4" t="n">
        <v>2106370</v>
      </c>
      <c r="D19" s="5" t="n">
        <v>0.0844770861719451</v>
      </c>
      <c r="F19" s="16" t="s">
        <v>181</v>
      </c>
      <c r="G19" s="4" t="n">
        <v>566120</v>
      </c>
      <c r="H19" s="5" t="n">
        <v>0.106629336536423</v>
      </c>
      <c r="I19" s="2"/>
      <c r="J19" s="16" t="n">
        <v>10</v>
      </c>
      <c r="K19" s="4" t="n">
        <v>865075</v>
      </c>
      <c r="L19" s="5" t="n">
        <v>0.0893853134121319</v>
      </c>
      <c r="N19" s="16" t="n">
        <v>62</v>
      </c>
      <c r="O19" s="4" t="n">
        <v>2154005</v>
      </c>
      <c r="P19" s="5" t="n">
        <v>0.0715411524114382</v>
      </c>
    </row>
    <row r="20" customFormat="false" ht="13.8" hidden="false" customHeight="false" outlineLevel="0" collapsed="false">
      <c r="A20" s="2"/>
      <c r="B20" s="16" t="s">
        <v>182</v>
      </c>
      <c r="C20" s="4" t="n">
        <v>940155</v>
      </c>
      <c r="D20" s="5" t="n">
        <v>0.0996431439496679</v>
      </c>
      <c r="F20" s="16" t="s">
        <v>183</v>
      </c>
      <c r="G20" s="4" t="n">
        <v>394585</v>
      </c>
      <c r="H20" s="5" t="n">
        <v>0.0937947463791072</v>
      </c>
      <c r="J20" s="16" t="n">
        <v>2</v>
      </c>
      <c r="K20" s="4" t="n">
        <v>2809715</v>
      </c>
      <c r="L20" s="5" t="n">
        <v>0.105037343645174</v>
      </c>
      <c r="N20" s="16" t="n">
        <v>71</v>
      </c>
      <c r="O20" s="4" t="n">
        <v>396605</v>
      </c>
      <c r="P20" s="5" t="n">
        <v>0.0796510381866089</v>
      </c>
    </row>
    <row r="21" customFormat="false" ht="13.8" hidden="false" customHeight="false" outlineLevel="0" collapsed="false">
      <c r="A21" s="2"/>
      <c r="B21" s="16" t="s">
        <v>184</v>
      </c>
      <c r="C21" s="4" t="n">
        <v>354015</v>
      </c>
      <c r="D21" s="5" t="n">
        <v>0.124768724489075</v>
      </c>
      <c r="F21" s="16" t="s">
        <v>185</v>
      </c>
      <c r="G21" s="4" t="n">
        <v>3388440</v>
      </c>
      <c r="H21" s="5" t="n">
        <v>0.0770103646515801</v>
      </c>
      <c r="I21" s="2"/>
      <c r="J21" s="16" t="n">
        <v>3</v>
      </c>
      <c r="K21" s="4" t="n">
        <v>1200675</v>
      </c>
      <c r="L21" s="5" t="n">
        <v>0.147283819518188</v>
      </c>
      <c r="N21" s="16" t="n">
        <v>72</v>
      </c>
      <c r="O21" s="4" t="n">
        <v>1423390</v>
      </c>
      <c r="P21" s="5" t="n">
        <v>0.0626427050913664</v>
      </c>
    </row>
    <row r="22" customFormat="false" ht="13.8" hidden="false" customHeight="false" outlineLevel="0" collapsed="false">
      <c r="B22" s="17" t="s">
        <v>186</v>
      </c>
      <c r="F22" s="17" t="s">
        <v>111</v>
      </c>
      <c r="J22" s="16" t="n">
        <v>4</v>
      </c>
      <c r="K22" s="4" t="n">
        <v>1278845</v>
      </c>
      <c r="L22" s="5" t="n">
        <v>0.0699654766605805</v>
      </c>
      <c r="N22" s="16" t="n">
        <v>81</v>
      </c>
      <c r="O22" s="4" t="n">
        <v>795665</v>
      </c>
      <c r="P22" s="5" t="n">
        <v>0.0822456687173622</v>
      </c>
    </row>
    <row r="23" customFormat="false" ht="13.8" hidden="false" customHeight="false" outlineLevel="0" collapsed="false">
      <c r="B23" s="16" t="s">
        <v>187</v>
      </c>
      <c r="C23" s="4" t="n">
        <v>13629560</v>
      </c>
      <c r="D23" s="5" t="n">
        <v>0.0839414478530488</v>
      </c>
      <c r="F23" s="16" t="s">
        <v>188</v>
      </c>
      <c r="G23" s="4" t="n">
        <v>13259010</v>
      </c>
      <c r="H23" s="5" t="n">
        <v>0.0696760165351712</v>
      </c>
      <c r="I23" s="2"/>
      <c r="J23" s="16" t="n">
        <v>5</v>
      </c>
      <c r="K23" s="4" t="n">
        <v>2121260</v>
      </c>
      <c r="L23" s="5" t="n">
        <v>0.0756390070052705</v>
      </c>
      <c r="N23" s="16" t="n">
        <v>91</v>
      </c>
      <c r="O23" s="4" t="n">
        <v>1209340</v>
      </c>
      <c r="P23" s="5" t="n">
        <v>0.090429490465874</v>
      </c>
    </row>
    <row r="24" customFormat="false" ht="13.8" hidden="false" customHeight="false" outlineLevel="0" collapsed="false">
      <c r="A24" s="2"/>
      <c r="B24" s="16" t="s">
        <v>189</v>
      </c>
      <c r="C24" s="4" t="n">
        <v>989640</v>
      </c>
      <c r="D24" s="5" t="n">
        <v>0.139914514368861</v>
      </c>
      <c r="F24" s="16" t="s">
        <v>190</v>
      </c>
      <c r="G24" s="4" t="n">
        <v>1140570</v>
      </c>
      <c r="H24" s="5" t="n">
        <v>0.071955250444953</v>
      </c>
      <c r="I24" s="2"/>
      <c r="J24" s="16" t="n">
        <v>6</v>
      </c>
      <c r="K24" s="4" t="n">
        <v>511275</v>
      </c>
      <c r="L24" s="5" t="n">
        <v>0.102195491662999</v>
      </c>
      <c r="N24" s="17" t="s">
        <v>80</v>
      </c>
      <c r="P24" s="5"/>
    </row>
    <row r="25" customFormat="false" ht="13.8" hidden="false" customHeight="false" outlineLevel="0" collapsed="false">
      <c r="A25" s="2"/>
      <c r="B25" s="16" t="s">
        <v>191</v>
      </c>
      <c r="C25" s="4" t="n">
        <v>752705</v>
      </c>
      <c r="D25" s="5" t="n">
        <v>0.136042672760245</v>
      </c>
      <c r="F25" s="16" t="s">
        <v>192</v>
      </c>
      <c r="G25" s="4" t="n">
        <v>2363570</v>
      </c>
      <c r="H25" s="5" t="n">
        <v>0.298948201237958</v>
      </c>
      <c r="I25" s="2"/>
      <c r="J25" s="16" t="n">
        <v>7</v>
      </c>
      <c r="K25" s="4" t="n">
        <v>4539560</v>
      </c>
      <c r="L25" s="5" t="n">
        <v>0.0749202565887443</v>
      </c>
      <c r="N25" s="16" t="s">
        <v>81</v>
      </c>
      <c r="O25" s="4" t="n">
        <v>16733515</v>
      </c>
      <c r="P25" s="5" t="n">
        <v>0.0967865986315487</v>
      </c>
    </row>
    <row r="26" customFormat="false" ht="13.8" hidden="false" customHeight="false" outlineLevel="0" collapsed="false">
      <c r="A26" s="2"/>
      <c r="B26" s="16" t="s">
        <v>193</v>
      </c>
      <c r="C26" s="4" t="n">
        <v>604215</v>
      </c>
      <c r="D26" s="5" t="n">
        <v>0.185596186787816</v>
      </c>
      <c r="F26" s="16" t="s">
        <v>194</v>
      </c>
      <c r="G26" s="4" t="n">
        <v>1065745</v>
      </c>
      <c r="H26" s="5" t="n">
        <v>0.00988979540133897</v>
      </c>
      <c r="I26" s="2"/>
      <c r="J26" s="16" t="n">
        <v>8</v>
      </c>
      <c r="K26" s="4" t="n">
        <v>2780870</v>
      </c>
      <c r="L26" s="5" t="n">
        <v>0.125446353119707</v>
      </c>
      <c r="N26" s="16" t="s">
        <v>82</v>
      </c>
      <c r="O26" s="4" t="n">
        <v>1589380</v>
      </c>
      <c r="P26" s="5" t="n">
        <v>0.09712592331601</v>
      </c>
    </row>
    <row r="27" customFormat="false" ht="13.8" hidden="false" customHeight="false" outlineLevel="0" collapsed="false">
      <c r="A27" s="2"/>
      <c r="B27" s="16" t="s">
        <v>195</v>
      </c>
      <c r="C27" s="4" t="n">
        <v>487885</v>
      </c>
      <c r="D27" s="5" t="n">
        <v>0.131895836108919</v>
      </c>
      <c r="F27" s="16" t="s">
        <v>196</v>
      </c>
      <c r="G27" s="4" t="n">
        <v>261615</v>
      </c>
      <c r="H27" s="5" t="n">
        <v>0.0244060929228064</v>
      </c>
      <c r="I27" s="2"/>
      <c r="J27" s="16" t="n">
        <v>9</v>
      </c>
      <c r="K27" s="4" t="n">
        <v>415880</v>
      </c>
      <c r="L27" s="5" t="n">
        <v>0.138249014138694</v>
      </c>
    </row>
    <row r="28" customFormat="false" ht="13.8" hidden="false" customHeight="false" outlineLevel="0" collapsed="false">
      <c r="A28" s="2"/>
      <c r="B28" s="16" t="s">
        <v>197</v>
      </c>
      <c r="C28" s="4" t="n">
        <v>267450</v>
      </c>
      <c r="D28" s="5" t="n">
        <v>0.147354645728174</v>
      </c>
      <c r="F28" s="16" t="s">
        <v>184</v>
      </c>
      <c r="G28" s="4" t="n">
        <v>232390</v>
      </c>
      <c r="H28" s="5" t="n">
        <v>0.191617539481045</v>
      </c>
      <c r="I28" s="2"/>
      <c r="J28" s="0"/>
    </row>
    <row r="29" customFormat="false" ht="13.8" hidden="false" customHeight="false" outlineLevel="0" collapsed="false">
      <c r="A29" s="2"/>
      <c r="B29" s="16" t="s">
        <v>198</v>
      </c>
      <c r="C29" s="4" t="n">
        <v>217305</v>
      </c>
      <c r="D29" s="5" t="n">
        <v>0.116288166402062</v>
      </c>
      <c r="F29" s="17" t="s">
        <v>145</v>
      </c>
      <c r="I29" s="2"/>
      <c r="J29" s="0"/>
    </row>
    <row r="30" customFormat="false" ht="13.8" hidden="false" customHeight="false" outlineLevel="0" collapsed="false">
      <c r="A30" s="2"/>
      <c r="B30" s="16" t="s">
        <v>199</v>
      </c>
      <c r="C30" s="4" t="n">
        <v>172280</v>
      </c>
      <c r="D30" s="5" t="n">
        <v>0.10854423032273</v>
      </c>
      <c r="F30" s="16" t="s">
        <v>200</v>
      </c>
      <c r="G30" s="4" t="n">
        <v>6558185</v>
      </c>
      <c r="H30" s="5" t="n">
        <v>0.143693720137508</v>
      </c>
      <c r="I30" s="2"/>
      <c r="J30" s="0"/>
    </row>
    <row r="31" customFormat="false" ht="13.8" hidden="false" customHeight="false" outlineLevel="0" collapsed="false">
      <c r="A31" s="2"/>
      <c r="B31" s="16" t="s">
        <v>201</v>
      </c>
      <c r="C31" s="4" t="n">
        <v>131940</v>
      </c>
      <c r="D31" s="5" t="n">
        <v>0.140670001515841</v>
      </c>
      <c r="F31" s="16" t="s">
        <v>202</v>
      </c>
      <c r="G31" s="4" t="n">
        <v>3515635</v>
      </c>
      <c r="H31" s="5" t="n">
        <v>0.067838384815261</v>
      </c>
      <c r="I31" s="2"/>
      <c r="J31" s="0"/>
    </row>
    <row r="32" customFormat="false" ht="13.8" hidden="false" customHeight="false" outlineLevel="0" collapsed="false">
      <c r="A32" s="2"/>
      <c r="B32" s="16" t="s">
        <v>203</v>
      </c>
      <c r="C32" s="4" t="n">
        <v>92415</v>
      </c>
      <c r="D32" s="5" t="n">
        <v>0.107720608126386</v>
      </c>
      <c r="F32" s="16" t="s">
        <v>204</v>
      </c>
      <c r="G32" s="4" t="n">
        <v>3210495</v>
      </c>
      <c r="H32" s="5" t="n">
        <v>0.0637518513500255</v>
      </c>
      <c r="I32" s="2"/>
      <c r="J32" s="0"/>
    </row>
    <row r="33" customFormat="false" ht="13.8" hidden="false" customHeight="false" outlineLevel="0" collapsed="false">
      <c r="A33" s="2"/>
      <c r="B33" s="16" t="s">
        <v>205</v>
      </c>
      <c r="C33" s="4" t="n">
        <v>45510</v>
      </c>
      <c r="D33" s="5" t="n">
        <v>0.0955833882663151</v>
      </c>
      <c r="F33" s="16" t="s">
        <v>206</v>
      </c>
      <c r="G33" s="4" t="n">
        <v>2193675</v>
      </c>
      <c r="H33" s="5" t="n">
        <v>0.060177555927838</v>
      </c>
      <c r="I33" s="2"/>
      <c r="J33" s="0"/>
    </row>
    <row r="34" customFormat="false" ht="13.8" hidden="false" customHeight="false" outlineLevel="0" collapsed="false">
      <c r="A34" s="2"/>
      <c r="B34" s="16" t="s">
        <v>184</v>
      </c>
      <c r="C34" s="4" t="n">
        <v>72340</v>
      </c>
      <c r="D34" s="5" t="n">
        <v>0.18025988388167</v>
      </c>
      <c r="F34" s="16" t="s">
        <v>207</v>
      </c>
      <c r="G34" s="4" t="n">
        <v>2844910</v>
      </c>
      <c r="H34" s="5" t="n">
        <v>0.090125873929228</v>
      </c>
      <c r="I34" s="2"/>
      <c r="J34" s="0"/>
    </row>
    <row r="35" customFormat="false" ht="13.8" hidden="false" customHeight="false" outlineLevel="0" collapsed="false">
      <c r="A35" s="2"/>
      <c r="B35" s="16" t="s">
        <v>208</v>
      </c>
      <c r="C35" s="4" t="n">
        <v>103230</v>
      </c>
      <c r="D35" s="5" t="n">
        <v>0.143272304562627</v>
      </c>
      <c r="F35" s="17" t="s">
        <v>209</v>
      </c>
      <c r="I35" s="2"/>
      <c r="J35" s="0"/>
    </row>
    <row r="36" customFormat="false" ht="13.8" hidden="false" customHeight="false" outlineLevel="0" collapsed="false">
      <c r="A36" s="2"/>
      <c r="B36" s="16" t="s">
        <v>210</v>
      </c>
      <c r="C36" s="4" t="n">
        <v>756425</v>
      </c>
      <c r="D36" s="5" t="n">
        <v>0.0904650163598506</v>
      </c>
      <c r="F36" s="15" t="s">
        <v>211</v>
      </c>
      <c r="G36" s="4" t="n">
        <v>11031600</v>
      </c>
      <c r="H36" s="5" t="n">
        <v>0.0928138257369738</v>
      </c>
      <c r="I36" s="2"/>
      <c r="J36" s="0"/>
    </row>
    <row r="37" customFormat="false" ht="13.8" hidden="false" customHeight="false" outlineLevel="0" collapsed="false">
      <c r="B37" s="17" t="s">
        <v>212</v>
      </c>
      <c r="F37" s="15" t="s">
        <v>213</v>
      </c>
      <c r="G37" s="4" t="n">
        <v>2238945</v>
      </c>
      <c r="H37" s="5" t="n">
        <v>0.112340856966116</v>
      </c>
      <c r="I37" s="2"/>
      <c r="J37" s="0"/>
    </row>
    <row r="38" customFormat="false" ht="13.8" hidden="false" customHeight="false" outlineLevel="0" collapsed="false">
      <c r="B38" s="16" t="s">
        <v>214</v>
      </c>
      <c r="C38" s="4" t="n">
        <v>13800425</v>
      </c>
      <c r="D38" s="5" t="n">
        <v>0.0844405154189092</v>
      </c>
      <c r="F38" s="15" t="s">
        <v>215</v>
      </c>
      <c r="G38" s="4" t="n">
        <v>4807665</v>
      </c>
      <c r="H38" s="5" t="n">
        <v>0.0995202452749932</v>
      </c>
      <c r="I38" s="2"/>
      <c r="J38" s="0"/>
    </row>
    <row r="39" customFormat="false" ht="13.8" hidden="false" customHeight="false" outlineLevel="0" collapsed="false">
      <c r="B39" s="16" t="s">
        <v>216</v>
      </c>
      <c r="C39" s="4" t="n">
        <v>1338900</v>
      </c>
      <c r="D39" s="5" t="n">
        <v>0.125401448950631</v>
      </c>
      <c r="F39" s="15" t="s">
        <v>184</v>
      </c>
      <c r="G39" s="4" t="n">
        <v>244685</v>
      </c>
      <c r="H39" s="5" t="n">
        <v>0.0820646954247298</v>
      </c>
      <c r="I39" s="2"/>
      <c r="J39" s="0"/>
    </row>
    <row r="40" customFormat="false" ht="14.9" hidden="false" customHeight="false" outlineLevel="0" collapsed="false">
      <c r="B40" s="16" t="s">
        <v>217</v>
      </c>
      <c r="C40" s="4" t="n">
        <v>1021645</v>
      </c>
      <c r="D40" s="5" t="n">
        <v>0.142392905559172</v>
      </c>
      <c r="I40" s="2"/>
      <c r="J40" s="0"/>
    </row>
    <row r="41" customFormat="false" ht="13.8" hidden="false" customHeight="false" outlineLevel="0" collapsed="false">
      <c r="B41" s="16" t="s">
        <v>218</v>
      </c>
      <c r="C41" s="4" t="n">
        <v>1265865</v>
      </c>
      <c r="D41" s="5" t="n">
        <v>0.140180824969487</v>
      </c>
      <c r="F41" s="17" t="s">
        <v>219</v>
      </c>
      <c r="G41" s="0" t="s">
        <v>220</v>
      </c>
      <c r="H41" s="0" t="s">
        <v>152</v>
      </c>
      <c r="I41" s="2"/>
      <c r="J41" s="0"/>
    </row>
    <row r="42" customFormat="false" ht="13.8" hidden="false" customHeight="false" outlineLevel="0" collapsed="false">
      <c r="B42" s="16" t="s">
        <v>221</v>
      </c>
      <c r="C42" s="4" t="n">
        <v>636955</v>
      </c>
      <c r="D42" s="5" t="n">
        <v>0.138675416630688</v>
      </c>
      <c r="F42" s="15" t="s">
        <v>222</v>
      </c>
      <c r="G42" s="0" t="n">
        <v>0.38</v>
      </c>
      <c r="H42" s="0" t="n">
        <v>0.37</v>
      </c>
      <c r="I42" s="2"/>
      <c r="J42" s="0"/>
    </row>
    <row r="43" customFormat="false" ht="13.8" hidden="false" customHeight="false" outlineLevel="0" collapsed="false">
      <c r="B43" s="16" t="s">
        <v>223</v>
      </c>
      <c r="C43" s="4" t="n">
        <v>259105</v>
      </c>
      <c r="D43" s="5" t="n">
        <v>0.113776268308215</v>
      </c>
      <c r="F43" s="15" t="s">
        <v>224</v>
      </c>
      <c r="G43" s="0" t="s">
        <v>225</v>
      </c>
      <c r="H43" s="0" t="s">
        <v>225</v>
      </c>
      <c r="J43" s="0"/>
    </row>
    <row r="44" customFormat="false" ht="13.8" hidden="false" customHeight="false" outlineLevel="0" collapsed="false">
      <c r="B44" s="0"/>
      <c r="I44" s="2"/>
      <c r="J44" s="0"/>
    </row>
    <row r="45" customFormat="false" ht="13.8" hidden="false" customHeight="false" outlineLevel="0" collapsed="false">
      <c r="A45" s="2"/>
      <c r="B45" s="17" t="s">
        <v>3</v>
      </c>
      <c r="C45" s="18" t="n">
        <v>18322895</v>
      </c>
      <c r="D45" s="19" t="n">
        <v>0.0968160326192995</v>
      </c>
      <c r="I45" s="2"/>
      <c r="J45" s="0"/>
    </row>
    <row r="46" customFormat="false" ht="13.8" hidden="false" customHeight="false" outlineLevel="0" collapsed="false">
      <c r="A46" s="2"/>
      <c r="B46" s="0"/>
      <c r="I46" s="2"/>
      <c r="J46" s="0"/>
    </row>
    <row r="47" customFormat="false" ht="13.8" hidden="false" customHeight="false" outlineLevel="0" collapsed="false">
      <c r="A47" s="2"/>
      <c r="B47" s="0"/>
      <c r="I47" s="2"/>
      <c r="J47" s="0"/>
    </row>
    <row r="48" customFormat="false" ht="13.8" hidden="false" customHeight="false" outlineLevel="0" collapsed="false">
      <c r="B48" s="0"/>
      <c r="I48" s="2"/>
      <c r="J48" s="0"/>
    </row>
    <row r="49" customFormat="false" ht="13.8" hidden="false" customHeight="false" outlineLevel="0" collapsed="false">
      <c r="A49" s="2"/>
      <c r="B49" s="0"/>
      <c r="I49" s="2"/>
      <c r="J49" s="0"/>
    </row>
    <row r="50" customFormat="false" ht="13.8" hidden="false" customHeight="false" outlineLevel="0" collapsed="false">
      <c r="A50" s="2"/>
      <c r="B50" s="0"/>
      <c r="I50" s="2"/>
      <c r="J50" s="0"/>
    </row>
    <row r="51" customFormat="false" ht="13.8" hidden="false" customHeight="false" outlineLevel="0" collapsed="false">
      <c r="B51" s="0"/>
      <c r="I51" s="2"/>
      <c r="J51" s="0"/>
    </row>
    <row r="52" customFormat="false" ht="13.8" hidden="false" customHeight="false" outlineLevel="0" collapsed="false">
      <c r="B52" s="0"/>
      <c r="I52" s="2"/>
    </row>
    <row r="53" customFormat="false" ht="13.8" hidden="false" customHeight="false" outlineLevel="0" collapsed="false">
      <c r="A53" s="2"/>
      <c r="B53" s="0"/>
    </row>
    <row r="54" customFormat="false" ht="13.8" hidden="false" customHeight="false" outlineLevel="0" collapsed="false">
      <c r="A54" s="2"/>
      <c r="B54" s="0"/>
    </row>
    <row r="55" customFormat="false" ht="13.8" hidden="false" customHeight="false" outlineLevel="0" collapsed="false">
      <c r="A55" s="2"/>
      <c r="B55" s="16"/>
      <c r="C55" s="4"/>
      <c r="D55" s="5"/>
    </row>
    <row r="56" customFormat="false" ht="13.8" hidden="false" customHeight="false" outlineLevel="0" collapsed="false">
      <c r="B56" s="0"/>
    </row>
    <row r="57" customFormat="false" ht="13.8" hidden="false" customHeight="false" outlineLevel="0" collapsed="false">
      <c r="B57" s="0"/>
    </row>
    <row r="58" customFormat="false" ht="13.8" hidden="false" customHeight="false" outlineLevel="0" collapsed="false">
      <c r="B58" s="0"/>
    </row>
    <row r="59" customFormat="false" ht="13.8" hidden="false" customHeight="false" outlineLevel="0" collapsed="false">
      <c r="B59" s="0"/>
    </row>
    <row r="60" customFormat="false" ht="13.8" hidden="false" customHeight="false" outlineLevel="0" collapsed="false">
      <c r="B60" s="0"/>
    </row>
    <row r="61" customFormat="false" ht="13.8" hidden="false" customHeight="false" outlineLevel="0" collapsed="false">
      <c r="B61" s="0"/>
    </row>
    <row r="62" customFormat="false" ht="13.8" hidden="false" customHeight="false" outlineLevel="0" collapsed="false">
      <c r="B62" s="0"/>
    </row>
    <row r="63" customFormat="false" ht="13.8" hidden="false" customHeight="false" outlineLevel="0" collapsed="false">
      <c r="B63" s="0"/>
    </row>
    <row r="64" customFormat="false" ht="13.8" hidden="false" customHeight="false" outlineLevel="0" collapsed="false">
      <c r="B64" s="0"/>
    </row>
    <row r="65" customFormat="false" ht="13.8" hidden="false" customHeight="false" outlineLevel="0" collapsed="false">
      <c r="B65" s="0"/>
    </row>
    <row r="66" customFormat="false" ht="13.8" hidden="false" customHeight="false" outlineLevel="0" collapsed="false">
      <c r="B66" s="0"/>
    </row>
    <row r="67" customFormat="false" ht="13.8" hidden="false" customHeight="false" outlineLevel="0" collapsed="false">
      <c r="B67" s="0"/>
    </row>
    <row r="68" customFormat="false" ht="13.8" hidden="false" customHeight="false" outlineLevel="0" collapsed="false">
      <c r="B68" s="0"/>
    </row>
    <row r="69" customFormat="false" ht="13.8" hidden="false" customHeight="false" outlineLevel="0" collapsed="false">
      <c r="B69" s="0"/>
    </row>
    <row r="70" customFormat="false" ht="13.8" hidden="false" customHeight="false" outlineLevel="0" collapsed="false">
      <c r="B70" s="0"/>
    </row>
    <row r="71" customFormat="false" ht="13.8" hidden="false" customHeight="false" outlineLevel="0" collapsed="false">
      <c r="B71" s="0"/>
    </row>
    <row r="72" customFormat="false" ht="13.8" hidden="false" customHeight="false" outlineLevel="0" collapsed="false">
      <c r="B72" s="0"/>
    </row>
    <row r="73" customFormat="false" ht="13.8" hidden="false" customHeight="false" outlineLevel="0" collapsed="false">
      <c r="B73" s="0"/>
    </row>
    <row r="74" customFormat="false" ht="13.8" hidden="false" customHeight="false" outlineLevel="0" collapsed="false">
      <c r="B74" s="0"/>
    </row>
    <row r="75" customFormat="false" ht="13.8" hidden="false" customHeight="false" outlineLevel="0" collapsed="false">
      <c r="B75" s="0"/>
    </row>
    <row r="76" customFormat="false" ht="13.8" hidden="false" customHeight="false" outlineLevel="0" collapsed="false">
      <c r="B76" s="0"/>
    </row>
    <row r="77" customFormat="false" ht="13.8" hidden="false" customHeight="false" outlineLevel="0" collapsed="false">
      <c r="B77" s="0"/>
    </row>
    <row r="78" customFormat="false" ht="13.8" hidden="false" customHeight="false" outlineLevel="0" collapsed="false">
      <c r="B78" s="0"/>
    </row>
    <row r="79" customFormat="false" ht="13.8" hidden="false" customHeight="false" outlineLevel="0" collapsed="false">
      <c r="B79" s="0"/>
    </row>
    <row r="80" customFormat="false" ht="13.8" hidden="false" customHeight="false" outlineLevel="0" collapsed="false">
      <c r="B80" s="0"/>
    </row>
    <row r="81" customFormat="false" ht="13.8" hidden="false" customHeight="false" outlineLevel="0" collapsed="false">
      <c r="B81" s="0"/>
    </row>
    <row r="82" customFormat="false" ht="13.8" hidden="false" customHeight="false" outlineLevel="0" collapsed="false">
      <c r="B82" s="0"/>
    </row>
    <row r="83" customFormat="false" ht="13.8" hidden="false" customHeight="false" outlineLevel="0" collapsed="false">
      <c r="B83" s="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19" activeCellId="0" sqref="F19"/>
    </sheetView>
  </sheetViews>
  <sheetFormatPr defaultColWidth="9.15234375" defaultRowHeight="12.8" zeroHeight="false" outlineLevelRow="0" outlineLevelCol="0"/>
  <cols>
    <col collapsed="false" customWidth="true" hidden="false" outlineLevel="0" max="6" min="3" style="0" width="14.99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3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35" activeCellId="0" sqref="F35"/>
    </sheetView>
  </sheetViews>
  <sheetFormatPr defaultColWidth="9.14453125" defaultRowHeight="13.8" zeroHeight="false" outlineLevelRow="0" outlineLevelCol="0"/>
  <cols>
    <col collapsed="false" customWidth="true" hidden="false" outlineLevel="0" max="1" min="1" style="15" width="31.55"/>
    <col collapsed="false" customWidth="true" hidden="false" outlineLevel="0" max="2" min="2" style="4" width="9.55"/>
    <col collapsed="false" customWidth="true" hidden="false" outlineLevel="0" max="4" min="3" style="20" width="10.11"/>
    <col collapsed="false" customWidth="false" hidden="false" outlineLevel="0" max="5" min="5" style="20" width="9.11"/>
    <col collapsed="false" customWidth="true" hidden="false" outlineLevel="0" max="6" min="6" style="0" width="27.76"/>
    <col collapsed="false" customWidth="false" hidden="false" outlineLevel="0" max="10" min="8" style="20" width="9.14"/>
  </cols>
  <sheetData>
    <row r="1" customFormat="false" ht="13.8" hidden="false" customHeight="false" outlineLevel="0" collapsed="false">
      <c r="C1" s="21" t="s">
        <v>226</v>
      </c>
      <c r="D1" s="21"/>
      <c r="E1" s="21"/>
      <c r="H1" s="21" t="s">
        <v>226</v>
      </c>
      <c r="I1" s="21"/>
      <c r="J1" s="21"/>
    </row>
    <row r="2" customFormat="false" ht="13.8" hidden="false" customHeight="false" outlineLevel="0" collapsed="false">
      <c r="B2" s="10" t="s">
        <v>227</v>
      </c>
      <c r="C2" s="22" t="s">
        <v>4</v>
      </c>
      <c r="D2" s="22" t="s">
        <v>5</v>
      </c>
      <c r="E2" s="22" t="s">
        <v>6</v>
      </c>
      <c r="G2" s="10" t="s">
        <v>227</v>
      </c>
      <c r="H2" s="22" t="s">
        <v>4</v>
      </c>
      <c r="I2" s="22" t="s">
        <v>5</v>
      </c>
      <c r="J2" s="22" t="s">
        <v>6</v>
      </c>
    </row>
    <row r="3" customFormat="false" ht="13.8" hidden="false" customHeight="false" outlineLevel="0" collapsed="false">
      <c r="A3" s="17" t="s">
        <v>11</v>
      </c>
      <c r="F3" s="17" t="s">
        <v>212</v>
      </c>
      <c r="G3" s="4"/>
    </row>
    <row r="4" customFormat="false" ht="13.8" hidden="false" customHeight="false" outlineLevel="0" collapsed="false">
      <c r="A4" s="15" t="s">
        <v>12</v>
      </c>
      <c r="B4" s="4" t="n">
        <v>8804.62</v>
      </c>
      <c r="C4" s="20" t="n">
        <v>0.0817326585360867</v>
      </c>
      <c r="D4" s="20" t="n">
        <v>0.0285202541393041</v>
      </c>
      <c r="E4" s="20" t="n">
        <v>0.0194295722018667</v>
      </c>
      <c r="F4" s="15" t="s">
        <v>214</v>
      </c>
      <c r="G4" s="4" t="n">
        <v>13800.425</v>
      </c>
      <c r="H4" s="20" t="n">
        <v>0.0844405154189092</v>
      </c>
      <c r="I4" s="20" t="n">
        <v>0.030740719941596</v>
      </c>
      <c r="J4" s="20" t="n">
        <v>0.0221341009425434</v>
      </c>
    </row>
    <row r="5" customFormat="false" ht="13.8" hidden="false" customHeight="false" outlineLevel="0" collapsed="false">
      <c r="A5" s="15" t="s">
        <v>14</v>
      </c>
      <c r="B5" s="4" t="n">
        <v>9518.275</v>
      </c>
      <c r="C5" s="20" t="n">
        <v>0.110768495341856</v>
      </c>
      <c r="D5" s="20" t="n">
        <v>0.0404243415955097</v>
      </c>
      <c r="E5" s="20" t="n">
        <v>0.030025923814977</v>
      </c>
      <c r="F5" s="15" t="s">
        <v>228</v>
      </c>
      <c r="G5" s="4" t="n">
        <v>1338.9</v>
      </c>
      <c r="H5" s="20" t="n">
        <v>0.125401448950631</v>
      </c>
      <c r="I5" s="20" t="n">
        <v>0.0440958996190903</v>
      </c>
      <c r="J5" s="20" t="n">
        <v>0.0314960041825379</v>
      </c>
    </row>
    <row r="6" customFormat="false" ht="13.8" hidden="false" customHeight="false" outlineLevel="0" collapsed="false">
      <c r="A6" s="17" t="s">
        <v>18</v>
      </c>
      <c r="F6" s="15" t="s">
        <v>229</v>
      </c>
      <c r="G6" s="4" t="n">
        <v>1021.645</v>
      </c>
      <c r="H6" s="20" t="n">
        <v>0.142392905559172</v>
      </c>
      <c r="I6" s="20" t="n">
        <v>0.0495132849473154</v>
      </c>
      <c r="J6" s="20" t="n">
        <v>0.0348506575180224</v>
      </c>
    </row>
    <row r="7" customFormat="false" ht="13.8" hidden="false" customHeight="false" outlineLevel="0" collapsed="false">
      <c r="A7" s="15" t="s">
        <v>158</v>
      </c>
      <c r="B7" s="4" t="n">
        <v>2876.525</v>
      </c>
      <c r="C7" s="20" t="n">
        <v>0.0786400257254847</v>
      </c>
      <c r="D7" s="20" t="n">
        <v>0.0264590086997332</v>
      </c>
      <c r="E7" s="20" t="n">
        <v>0.0195600594467283</v>
      </c>
      <c r="F7" s="15" t="s">
        <v>230</v>
      </c>
      <c r="G7" s="4" t="n">
        <v>1265.865</v>
      </c>
      <c r="H7" s="20" t="n">
        <v>0.140180824969487</v>
      </c>
      <c r="I7" s="20" t="n">
        <v>0.0483187385700687</v>
      </c>
      <c r="J7" s="20" t="n">
        <v>0.0343480544923827</v>
      </c>
    </row>
    <row r="8" customFormat="false" ht="13.8" hidden="false" customHeight="false" outlineLevel="0" collapsed="false">
      <c r="A8" s="15" t="s">
        <v>161</v>
      </c>
      <c r="B8" s="4" t="n">
        <v>3823.28</v>
      </c>
      <c r="C8" s="20" t="n">
        <v>0.103065953840681</v>
      </c>
      <c r="D8" s="20" t="n">
        <v>0.0359769621895336</v>
      </c>
      <c r="E8" s="20" t="n">
        <v>0.0252100290849742</v>
      </c>
      <c r="F8" s="15" t="s">
        <v>231</v>
      </c>
      <c r="G8" s="4" t="n">
        <v>636.955</v>
      </c>
      <c r="H8" s="20" t="n">
        <v>0.138675416630688</v>
      </c>
      <c r="I8" s="20" t="n">
        <v>0.0487318570385663</v>
      </c>
      <c r="J8" s="20" t="n">
        <v>0.035873805841857</v>
      </c>
    </row>
    <row r="9" customFormat="false" ht="13.8" hidden="false" customHeight="false" outlineLevel="0" collapsed="false">
      <c r="A9" s="15" t="s">
        <v>163</v>
      </c>
      <c r="B9" s="4" t="n">
        <v>3680.925</v>
      </c>
      <c r="C9" s="20" t="n">
        <v>0.104711451605235</v>
      </c>
      <c r="D9" s="20" t="n">
        <v>0.0366157963012015</v>
      </c>
      <c r="E9" s="20" t="n">
        <v>0.0252300712456787</v>
      </c>
      <c r="F9" s="15" t="s">
        <v>232</v>
      </c>
      <c r="G9" s="4" t="n">
        <v>259.105</v>
      </c>
      <c r="H9" s="20" t="n">
        <v>0.113776268308215</v>
      </c>
      <c r="I9" s="20" t="n">
        <v>0.0378996931745817</v>
      </c>
      <c r="J9" s="20" t="n">
        <v>0.02817390633141</v>
      </c>
    </row>
    <row r="10" customFormat="false" ht="13.8" hidden="false" customHeight="false" outlineLevel="0" collapsed="false">
      <c r="A10" s="15" t="s">
        <v>165</v>
      </c>
      <c r="B10" s="4" t="n">
        <v>3969.65</v>
      </c>
      <c r="C10" s="20" t="n">
        <v>0.100784703941154</v>
      </c>
      <c r="D10" s="20" t="n">
        <v>0.036620356958422</v>
      </c>
      <c r="E10" s="20" t="n">
        <v>0.0264040910407719</v>
      </c>
      <c r="F10" s="17" t="s">
        <v>233</v>
      </c>
      <c r="G10" s="4"/>
    </row>
    <row r="11" customFormat="false" ht="13.8" hidden="false" customHeight="false" outlineLevel="0" collapsed="false">
      <c r="A11" s="15" t="s">
        <v>167</v>
      </c>
      <c r="B11" s="4" t="n">
        <v>3074.575</v>
      </c>
      <c r="C11" s="20" t="n">
        <v>0.0946033191579324</v>
      </c>
      <c r="D11" s="20" t="n">
        <v>0.0362846897538684</v>
      </c>
      <c r="E11" s="20" t="n">
        <v>0.026907784002667</v>
      </c>
      <c r="F11" s="15" t="s">
        <v>30</v>
      </c>
      <c r="G11" s="4" t="n">
        <v>16507.35</v>
      </c>
      <c r="H11" s="20" t="n">
        <v>0.0951200525826374</v>
      </c>
      <c r="I11" s="20" t="n">
        <v>0.0341257076393243</v>
      </c>
      <c r="J11" s="20" t="n">
        <v>0.0242797905175573</v>
      </c>
    </row>
    <row r="12" customFormat="false" ht="13.8" hidden="false" customHeight="false" outlineLevel="0" collapsed="false">
      <c r="A12" s="15" t="s">
        <v>234</v>
      </c>
      <c r="B12" s="4" t="n">
        <v>897.94</v>
      </c>
      <c r="C12" s="20" t="n">
        <v>0.0860970666191505</v>
      </c>
      <c r="D12" s="20" t="n">
        <v>0.0339833396440742</v>
      </c>
      <c r="E12" s="20" t="n">
        <v>0.0265051117001136</v>
      </c>
      <c r="F12" s="15" t="s">
        <v>119</v>
      </c>
      <c r="G12" s="4" t="n">
        <v>1227.675</v>
      </c>
      <c r="H12" s="20" t="n">
        <v>0.118602235933777</v>
      </c>
      <c r="I12" s="20" t="n">
        <v>0.0411835379884742</v>
      </c>
      <c r="J12" s="20" t="n">
        <v>0.0313071456207873</v>
      </c>
    </row>
    <row r="13" customFormat="false" ht="13.8" hidden="false" customHeight="false" outlineLevel="0" collapsed="false">
      <c r="A13" s="17" t="s">
        <v>70</v>
      </c>
      <c r="F13" s="15" t="s">
        <v>156</v>
      </c>
      <c r="G13" s="4" t="n">
        <v>587.875</v>
      </c>
      <c r="H13" s="20" t="n">
        <v>0.0989411014246226</v>
      </c>
      <c r="I13" s="20" t="n">
        <v>0.0374229215394429</v>
      </c>
      <c r="J13" s="20" t="n">
        <v>0.0299978736976398</v>
      </c>
    </row>
    <row r="14" customFormat="false" ht="13.8" hidden="false" customHeight="false" outlineLevel="0" collapsed="false">
      <c r="A14" s="15" t="s">
        <v>235</v>
      </c>
      <c r="B14" s="4" t="n">
        <v>17096.86</v>
      </c>
      <c r="C14" s="20" t="n">
        <v>0.0962977997129297</v>
      </c>
      <c r="D14" s="20" t="n">
        <v>0.0342211961728645</v>
      </c>
      <c r="E14" s="20" t="n">
        <v>0.0244758394231455</v>
      </c>
      <c r="F14" s="17" t="s">
        <v>122</v>
      </c>
      <c r="G14" s="4"/>
    </row>
    <row r="15" customFormat="false" ht="13.8" hidden="false" customHeight="false" outlineLevel="0" collapsed="false">
      <c r="A15" s="15" t="s">
        <v>170</v>
      </c>
      <c r="B15" s="4" t="n">
        <v>1113.825</v>
      </c>
      <c r="C15" s="20" t="n">
        <v>0.103023365429937</v>
      </c>
      <c r="D15" s="20" t="n">
        <v>0.0410387628218077</v>
      </c>
      <c r="E15" s="20" t="n">
        <v>0.0309878122685341</v>
      </c>
      <c r="F15" s="15" t="s">
        <v>171</v>
      </c>
      <c r="G15" s="4" t="n">
        <v>4313.975</v>
      </c>
      <c r="H15" s="20" t="n">
        <v>0.0904363145358979</v>
      </c>
      <c r="I15" s="20" t="n">
        <v>0.0341622285710974</v>
      </c>
      <c r="J15" s="20" t="n">
        <v>0.0246570738124352</v>
      </c>
      <c r="P15" s="20"/>
      <c r="Q15" s="20"/>
      <c r="R15" s="20"/>
    </row>
    <row r="16" customFormat="false" ht="13.8" hidden="false" customHeight="false" outlineLevel="0" collapsed="false">
      <c r="A16" s="15" t="s">
        <v>236</v>
      </c>
      <c r="B16" s="4" t="n">
        <v>112.215</v>
      </c>
      <c r="C16" s="20" t="n">
        <v>0.114111304192844</v>
      </c>
      <c r="D16" s="20" t="n">
        <v>0.0454484694559551</v>
      </c>
      <c r="E16" s="20" t="n">
        <v>0.0347101546139108</v>
      </c>
      <c r="F16" s="15" t="s">
        <v>173</v>
      </c>
      <c r="G16" s="4" t="n">
        <v>6477.41</v>
      </c>
      <c r="H16" s="20" t="n">
        <v>0.102901468333794</v>
      </c>
      <c r="I16" s="20" t="n">
        <v>0.036218179797172</v>
      </c>
      <c r="J16" s="20" t="n">
        <v>0.0253836023966369</v>
      </c>
      <c r="P16" s="20"/>
      <c r="Q16" s="20"/>
      <c r="R16" s="20"/>
    </row>
    <row r="17" customFormat="false" ht="13.8" hidden="false" customHeight="false" outlineLevel="0" collapsed="false">
      <c r="A17" s="17" t="s">
        <v>237</v>
      </c>
      <c r="F17" s="15" t="s">
        <v>174</v>
      </c>
      <c r="G17" s="4" t="n">
        <v>1036.805</v>
      </c>
      <c r="H17" s="20" t="n">
        <v>0.0987794233245403</v>
      </c>
      <c r="I17" s="20" t="n">
        <v>0.0349583576468092</v>
      </c>
      <c r="J17" s="20" t="n">
        <v>0.0252217147872551</v>
      </c>
    </row>
    <row r="18" customFormat="false" ht="13.8" hidden="false" customHeight="false" outlineLevel="0" collapsed="false">
      <c r="A18" s="15" t="s">
        <v>187</v>
      </c>
      <c r="B18" s="4" t="n">
        <v>13629.56</v>
      </c>
      <c r="C18" s="20" t="n">
        <v>0.0839414478530488</v>
      </c>
      <c r="D18" s="20" t="n">
        <v>0.0300681019783471</v>
      </c>
      <c r="E18" s="20" t="n">
        <v>0.0213766988809617</v>
      </c>
      <c r="F18" s="15" t="s">
        <v>176</v>
      </c>
      <c r="G18" s="4" t="n">
        <v>2214.725</v>
      </c>
      <c r="H18" s="20" t="n">
        <v>0.0912167424849586</v>
      </c>
      <c r="I18" s="20" t="n">
        <v>0.0311641400173836</v>
      </c>
      <c r="J18" s="20" t="n">
        <v>0.0227951551547032</v>
      </c>
    </row>
    <row r="19" customFormat="false" ht="13.8" hidden="false" customHeight="false" outlineLevel="0" collapsed="false">
      <c r="A19" s="15" t="s">
        <v>189</v>
      </c>
      <c r="B19" s="4" t="n">
        <v>989.64</v>
      </c>
      <c r="C19" s="20" t="n">
        <v>0.139914514368861</v>
      </c>
      <c r="D19" s="20" t="n">
        <v>0.0512913786831575</v>
      </c>
      <c r="E19" s="20" t="n">
        <v>0.0361292995432683</v>
      </c>
      <c r="F19" s="15" t="s">
        <v>178</v>
      </c>
      <c r="G19" s="4" t="n">
        <v>879.44</v>
      </c>
      <c r="H19" s="20" t="n">
        <v>0.110348630946966</v>
      </c>
      <c r="I19" s="20" t="n">
        <v>0.0381208496315837</v>
      </c>
      <c r="J19" s="20" t="n">
        <v>0.0286716546893478</v>
      </c>
    </row>
    <row r="20" customFormat="false" ht="13.8" hidden="false" customHeight="false" outlineLevel="0" collapsed="false">
      <c r="A20" s="15" t="s">
        <v>191</v>
      </c>
      <c r="B20" s="4" t="n">
        <v>752.705</v>
      </c>
      <c r="C20" s="20" t="n">
        <v>0.136042672760245</v>
      </c>
      <c r="D20" s="20" t="n">
        <v>0.0455889093336699</v>
      </c>
      <c r="E20" s="20" t="n">
        <v>0.0307823117954577</v>
      </c>
      <c r="F20" s="15" t="s">
        <v>180</v>
      </c>
      <c r="G20" s="4" t="n">
        <v>2106.37</v>
      </c>
      <c r="H20" s="20" t="n">
        <v>0.0844770861719451</v>
      </c>
      <c r="I20" s="20" t="n">
        <v>0.0319958032064642</v>
      </c>
      <c r="J20" s="20" t="n">
        <v>0.0227903929509061</v>
      </c>
    </row>
    <row r="21" customFormat="false" ht="13.8" hidden="false" customHeight="false" outlineLevel="0" collapsed="false">
      <c r="A21" s="15" t="s">
        <v>193</v>
      </c>
      <c r="B21" s="4" t="n">
        <v>604.215</v>
      </c>
      <c r="C21" s="20" t="n">
        <v>0.185596186787816</v>
      </c>
      <c r="D21" s="20" t="n">
        <v>0.0706371076520775</v>
      </c>
      <c r="E21" s="20" t="n">
        <v>0.0537556995440365</v>
      </c>
      <c r="F21" s="15" t="s">
        <v>182</v>
      </c>
      <c r="G21" s="4" t="n">
        <v>940.155</v>
      </c>
      <c r="H21" s="20" t="n">
        <v>0.0996431439496679</v>
      </c>
      <c r="I21" s="20" t="n">
        <v>0.0339731214533774</v>
      </c>
      <c r="J21" s="20" t="n">
        <v>0.0256127978897097</v>
      </c>
    </row>
    <row r="22" customFormat="false" ht="13.8" hidden="false" customHeight="false" outlineLevel="0" collapsed="false">
      <c r="A22" s="15" t="s">
        <v>195</v>
      </c>
      <c r="B22" s="4" t="n">
        <v>487.885</v>
      </c>
      <c r="C22" s="20" t="n">
        <v>0.131895836108919</v>
      </c>
      <c r="D22" s="20" t="n">
        <v>0.0430736751488568</v>
      </c>
      <c r="E22" s="20" t="n">
        <v>0.0325793988337416</v>
      </c>
      <c r="F22" s="15" t="s">
        <v>238</v>
      </c>
      <c r="G22" s="4" t="n">
        <v>354.015</v>
      </c>
      <c r="H22" s="20" t="n">
        <v>0.124768724489075</v>
      </c>
      <c r="I22" s="20" t="n">
        <v>0.044574382441422</v>
      </c>
      <c r="J22" s="20" t="n">
        <v>0.0342923322458088</v>
      </c>
    </row>
    <row r="23" customFormat="false" ht="13.8" hidden="false" customHeight="false" outlineLevel="0" collapsed="false">
      <c r="A23" s="15" t="s">
        <v>197</v>
      </c>
      <c r="B23" s="4" t="n">
        <v>267.45</v>
      </c>
      <c r="C23" s="20" t="n">
        <v>0.147354645728174</v>
      </c>
      <c r="D23" s="20" t="n">
        <v>0.0486072163021125</v>
      </c>
      <c r="E23" s="20" t="n">
        <v>0.0352215367358385</v>
      </c>
      <c r="F23" s="2" t="s">
        <v>239</v>
      </c>
      <c r="H23" s="0"/>
      <c r="I23" s="0"/>
      <c r="J23" s="0"/>
    </row>
    <row r="24" customFormat="false" ht="13.8" hidden="false" customHeight="false" outlineLevel="0" collapsed="false">
      <c r="A24" s="15" t="s">
        <v>198</v>
      </c>
      <c r="B24" s="4" t="n">
        <v>217.305</v>
      </c>
      <c r="C24" s="20" t="n">
        <v>0.116288166402062</v>
      </c>
      <c r="D24" s="20" t="n">
        <v>0.03904650146108</v>
      </c>
      <c r="E24" s="20" t="n">
        <v>0.0277950346287476</v>
      </c>
      <c r="F24" s="0" t="s">
        <v>240</v>
      </c>
      <c r="G24" s="0" t="s">
        <v>241</v>
      </c>
      <c r="H24" s="0" t="s">
        <v>241</v>
      </c>
      <c r="I24" s="0" t="s">
        <v>241</v>
      </c>
      <c r="J24" s="0" t="s">
        <v>241</v>
      </c>
    </row>
    <row r="25" customFormat="false" ht="13.8" hidden="false" customHeight="false" outlineLevel="0" collapsed="false">
      <c r="A25" s="15" t="s">
        <v>199</v>
      </c>
      <c r="B25" s="4" t="n">
        <v>172.28</v>
      </c>
      <c r="C25" s="20" t="n">
        <v>0.10854423032273</v>
      </c>
      <c r="D25" s="20" t="n">
        <v>0.0339563501276991</v>
      </c>
      <c r="E25" s="20" t="n">
        <v>0.0240886928256327</v>
      </c>
      <c r="F25" s="0" t="s">
        <v>242</v>
      </c>
      <c r="G25" s="0" t="s">
        <v>241</v>
      </c>
      <c r="H25" s="0" t="s">
        <v>241</v>
      </c>
      <c r="I25" s="0" t="s">
        <v>241</v>
      </c>
      <c r="J25" s="0" t="s">
        <v>241</v>
      </c>
    </row>
    <row r="26" customFormat="false" ht="13.8" hidden="false" customHeight="false" outlineLevel="0" collapsed="false">
      <c r="A26" s="15" t="s">
        <v>201</v>
      </c>
      <c r="B26" s="4" t="n">
        <v>131.94</v>
      </c>
      <c r="C26" s="20" t="n">
        <v>0.140670001515841</v>
      </c>
      <c r="D26" s="20" t="n">
        <v>0.0450204638472033</v>
      </c>
      <c r="E26" s="20" t="n">
        <v>0.032287403365166</v>
      </c>
      <c r="F26" s="0" t="s">
        <v>243</v>
      </c>
      <c r="G26" s="0" t="s">
        <v>241</v>
      </c>
      <c r="H26" s="0" t="s">
        <v>241</v>
      </c>
      <c r="I26" s="0" t="s">
        <v>241</v>
      </c>
      <c r="J26" s="0" t="s">
        <v>241</v>
      </c>
    </row>
    <row r="27" customFormat="false" ht="13.8" hidden="false" customHeight="false" outlineLevel="0" collapsed="false">
      <c r="A27" s="15" t="s">
        <v>203</v>
      </c>
      <c r="B27" s="4" t="n">
        <v>92.415</v>
      </c>
      <c r="C27" s="20" t="n">
        <v>0.107720608126386</v>
      </c>
      <c r="D27" s="20" t="n">
        <v>0.0313801871990478</v>
      </c>
      <c r="E27" s="20" t="n">
        <v>0.0212627820159065</v>
      </c>
      <c r="F27" s="17" t="s">
        <v>135</v>
      </c>
      <c r="G27" s="4"/>
    </row>
    <row r="28" customFormat="false" ht="13.8" hidden="false" customHeight="false" outlineLevel="0" collapsed="false">
      <c r="A28" s="15" t="s">
        <v>205</v>
      </c>
      <c r="B28" s="4" t="n">
        <v>45.51</v>
      </c>
      <c r="C28" s="20" t="n">
        <v>0.0955833882663151</v>
      </c>
      <c r="D28" s="20" t="n">
        <v>0.0302131399692375</v>
      </c>
      <c r="E28" s="20" t="n">
        <v>0.0187870797626895</v>
      </c>
      <c r="F28" s="15" t="s">
        <v>211</v>
      </c>
      <c r="G28" s="4" t="n">
        <v>11031.6</v>
      </c>
      <c r="H28" s="20" t="n">
        <v>0.0928138257369738</v>
      </c>
      <c r="I28" s="20" t="n">
        <v>0.0345099532252801</v>
      </c>
      <c r="J28" s="20" t="n">
        <v>0.025002719460459</v>
      </c>
    </row>
    <row r="29" customFormat="false" ht="13.8" hidden="false" customHeight="false" outlineLevel="0" collapsed="false">
      <c r="A29" s="15" t="s">
        <v>184</v>
      </c>
      <c r="B29" s="4" t="n">
        <v>72.34</v>
      </c>
      <c r="C29" s="20" t="n">
        <v>0.18025988388167</v>
      </c>
      <c r="D29" s="20" t="n">
        <v>0.0717445396737628</v>
      </c>
      <c r="E29" s="20" t="n">
        <v>0.0522532485485209</v>
      </c>
      <c r="F29" s="15" t="s">
        <v>213</v>
      </c>
      <c r="G29" s="4" t="n">
        <v>2238.945</v>
      </c>
      <c r="H29" s="20" t="n">
        <v>0.112340856966116</v>
      </c>
      <c r="I29" s="20" t="n">
        <v>0.0397776631404523</v>
      </c>
      <c r="J29" s="20" t="n">
        <v>0.0280801895535621</v>
      </c>
    </row>
    <row r="30" customFormat="false" ht="13.8" hidden="false" customHeight="false" outlineLevel="0" collapsed="false">
      <c r="A30" s="15" t="s">
        <v>208</v>
      </c>
      <c r="B30" s="4" t="n">
        <v>103.23</v>
      </c>
      <c r="C30" s="20" t="n">
        <v>0.143272304562627</v>
      </c>
      <c r="D30" s="20" t="n">
        <v>0.0544415383125061</v>
      </c>
      <c r="E30" s="20" t="n">
        <v>0.0388937324421195</v>
      </c>
      <c r="F30" s="15" t="s">
        <v>215</v>
      </c>
      <c r="G30" s="4" t="n">
        <v>4807.665</v>
      </c>
      <c r="H30" s="20" t="n">
        <v>0.0995202452749932</v>
      </c>
      <c r="I30" s="20" t="n">
        <v>0.0328600266449513</v>
      </c>
      <c r="J30" s="20" t="n">
        <v>0.0231962917549372</v>
      </c>
    </row>
    <row r="31" customFormat="false" ht="13.8" hidden="false" customHeight="false" outlineLevel="0" collapsed="false">
      <c r="A31" s="15" t="s">
        <v>244</v>
      </c>
      <c r="B31" s="4" t="n">
        <v>756.425</v>
      </c>
      <c r="C31" s="20" t="n">
        <v>0.0904650163598506</v>
      </c>
      <c r="D31" s="20" t="n">
        <v>0.0382456952110255</v>
      </c>
      <c r="E31" s="20" t="n">
        <v>0.031358032851902</v>
      </c>
      <c r="F31" s="15" t="s">
        <v>184</v>
      </c>
      <c r="G31" s="4" t="n">
        <v>244.685</v>
      </c>
      <c r="H31" s="20" t="n">
        <v>0.0820646954247298</v>
      </c>
      <c r="I31" s="20" t="n">
        <v>0.0332468275537937</v>
      </c>
      <c r="J31" s="20" t="n">
        <v>0.0271982344647199</v>
      </c>
    </row>
    <row r="32" customFormat="false" ht="13.8" hidden="false" customHeight="false" outlineLevel="0" collapsed="false">
      <c r="A32" s="17" t="s">
        <v>245</v>
      </c>
      <c r="F32" s="17" t="s">
        <v>140</v>
      </c>
      <c r="G32" s="4"/>
    </row>
    <row r="33" customFormat="false" ht="13.8" hidden="false" customHeight="false" outlineLevel="0" collapsed="false">
      <c r="A33" s="15" t="s">
        <v>30</v>
      </c>
      <c r="B33" s="23" t="n">
        <v>17244</v>
      </c>
      <c r="C33" s="24" t="n">
        <v>0.0955694734400371</v>
      </c>
      <c r="D33" s="24" t="n">
        <v>0.0343887729065182</v>
      </c>
      <c r="E33" s="24" t="n">
        <v>0.0245882625840872</v>
      </c>
      <c r="F33" s="15" t="s">
        <v>246</v>
      </c>
      <c r="G33" s="4" t="n">
        <v>13467.855</v>
      </c>
      <c r="H33" s="20" t="n">
        <v>0.0966642423756418</v>
      </c>
      <c r="I33" s="20" t="n">
        <v>0.0350816815298353</v>
      </c>
      <c r="J33" s="20" t="n">
        <v>0.0249950715982612</v>
      </c>
    </row>
    <row r="34" customFormat="false" ht="13.8" hidden="false" customHeight="false" outlineLevel="0" collapsed="false">
      <c r="A34" s="15" t="s">
        <v>119</v>
      </c>
      <c r="B34" s="23" t="n">
        <v>1079</v>
      </c>
      <c r="C34" s="24" t="n">
        <v>0.115848007414272</v>
      </c>
      <c r="D34" s="24" t="n">
        <v>0.0389249304911955</v>
      </c>
      <c r="E34" s="24" t="n">
        <v>0.0296570898980538</v>
      </c>
      <c r="F34" s="15" t="s">
        <v>247</v>
      </c>
      <c r="G34" s="4" t="n">
        <v>4458.035</v>
      </c>
      <c r="H34" s="20" t="n">
        <v>0.0966771234411574</v>
      </c>
      <c r="I34" s="20" t="n">
        <v>0.0332725068331675</v>
      </c>
      <c r="J34" s="20" t="n">
        <v>0.0242517162830709</v>
      </c>
    </row>
    <row r="35" customFormat="false" ht="13.8" hidden="false" customHeight="false" outlineLevel="0" collapsed="false">
      <c r="A35" s="17" t="s">
        <v>3</v>
      </c>
      <c r="B35" s="10" t="n">
        <v>18322.895</v>
      </c>
      <c r="C35" s="22" t="n">
        <v>0.0968160326192995</v>
      </c>
      <c r="D35" s="22" t="n">
        <v>0.0347041229019759</v>
      </c>
      <c r="E35" s="22" t="n">
        <v>0.0249341056639794</v>
      </c>
      <c r="F35" s="15" t="s">
        <v>248</v>
      </c>
      <c r="G35" s="4" t="n">
        <v>397.01</v>
      </c>
      <c r="H35" s="20" t="n">
        <v>0.103523840709302</v>
      </c>
      <c r="I35" s="20" t="n">
        <v>0.0379713357346163</v>
      </c>
      <c r="J35" s="20" t="n">
        <v>0.0305281982821591</v>
      </c>
    </row>
    <row r="39" customFormat="false" ht="13.8" hidden="false" customHeight="false" outlineLevel="0" collapsed="false">
      <c r="A39" s="0"/>
      <c r="C39" s="21" t="s">
        <v>226</v>
      </c>
      <c r="D39" s="21"/>
      <c r="E39" s="21"/>
      <c r="H39" s="21" t="s">
        <v>226</v>
      </c>
      <c r="I39" s="21"/>
      <c r="J39" s="21"/>
    </row>
    <row r="40" customFormat="false" ht="13.8" hidden="false" customHeight="false" outlineLevel="0" collapsed="false">
      <c r="A40" s="0"/>
      <c r="B40" s="10" t="s">
        <v>227</v>
      </c>
      <c r="C40" s="22" t="s">
        <v>4</v>
      </c>
      <c r="D40" s="22" t="s">
        <v>5</v>
      </c>
      <c r="E40" s="22" t="s">
        <v>6</v>
      </c>
      <c r="G40" s="10" t="s">
        <v>227</v>
      </c>
      <c r="H40" s="22" t="s">
        <v>4</v>
      </c>
      <c r="I40" s="22" t="s">
        <v>5</v>
      </c>
      <c r="J40" s="22" t="s">
        <v>6</v>
      </c>
    </row>
    <row r="41" customFormat="false" ht="13.8" hidden="false" customHeight="false" outlineLevel="0" collapsed="false">
      <c r="A41" s="17" t="s">
        <v>249</v>
      </c>
      <c r="F41" s="17" t="s">
        <v>250</v>
      </c>
      <c r="G41" s="4"/>
    </row>
    <row r="42" customFormat="false" ht="13.8" hidden="false" customHeight="false" outlineLevel="0" collapsed="false">
      <c r="A42" s="15" t="s">
        <v>32</v>
      </c>
      <c r="B42" s="4" t="n">
        <v>15685.935</v>
      </c>
      <c r="C42" s="20" t="n">
        <v>0.0959480579257787</v>
      </c>
      <c r="D42" s="20" t="n">
        <v>0.0343011111546746</v>
      </c>
      <c r="E42" s="20" t="n">
        <v>0.024625564239556</v>
      </c>
      <c r="F42" s="0" t="s">
        <v>251</v>
      </c>
      <c r="G42" s="4" t="n">
        <v>299.975</v>
      </c>
      <c r="H42" s="20" t="n">
        <v>0.121493457788149</v>
      </c>
      <c r="I42" s="20" t="n">
        <v>0.0585215434619552</v>
      </c>
      <c r="J42" s="20" t="n">
        <v>0.0514709559129927</v>
      </c>
    </row>
    <row r="43" customFormat="false" ht="13.8" hidden="false" customHeight="false" outlineLevel="0" collapsed="false">
      <c r="A43" s="15" t="s">
        <v>33</v>
      </c>
      <c r="B43" s="4" t="n">
        <v>2636.96</v>
      </c>
      <c r="C43" s="20" t="n">
        <v>0.101977276864268</v>
      </c>
      <c r="D43" s="20" t="n">
        <v>0.0371033311085492</v>
      </c>
      <c r="E43" s="20" t="n">
        <v>0.0267694618045022</v>
      </c>
      <c r="F43" s="0" t="s">
        <v>252</v>
      </c>
      <c r="G43" s="4" t="n">
        <v>278.1</v>
      </c>
      <c r="H43" s="20" t="n">
        <v>0.211362819129809</v>
      </c>
      <c r="I43" s="20" t="n">
        <v>0.104908306364617</v>
      </c>
      <c r="J43" s="20" t="n">
        <v>0.0904350952894642</v>
      </c>
    </row>
    <row r="44" customFormat="false" ht="13.8" hidden="false" customHeight="false" outlineLevel="0" collapsed="false">
      <c r="A44" s="17" t="s">
        <v>103</v>
      </c>
      <c r="F44" s="0" t="s">
        <v>253</v>
      </c>
      <c r="G44" s="4" t="n">
        <v>141.8</v>
      </c>
      <c r="H44" s="20" t="n">
        <v>0.133744710860367</v>
      </c>
      <c r="I44" s="20" t="n">
        <v>0.0536318758815233</v>
      </c>
      <c r="J44" s="20" t="n">
        <v>0.0386459802538787</v>
      </c>
    </row>
    <row r="45" customFormat="false" ht="13.8" hidden="false" customHeight="false" outlineLevel="0" collapsed="false">
      <c r="A45" s="15" t="s">
        <v>254</v>
      </c>
      <c r="B45" s="4" t="n">
        <v>9380.505</v>
      </c>
      <c r="C45" s="20" t="n">
        <v>0.09597137893962</v>
      </c>
      <c r="D45" s="20" t="n">
        <v>0.0328809589675609</v>
      </c>
      <c r="E45" s="20" t="n">
        <v>0.022064377131082</v>
      </c>
      <c r="F45" s="0" t="s">
        <v>255</v>
      </c>
      <c r="G45" s="4" t="n">
        <v>1391.39</v>
      </c>
      <c r="H45" s="20" t="n">
        <v>0.160501369134463</v>
      </c>
      <c r="I45" s="20" t="n">
        <v>0.0519085231315447</v>
      </c>
      <c r="J45" s="20" t="n">
        <v>0.0410380985920554</v>
      </c>
    </row>
    <row r="46" customFormat="false" ht="13.8" hidden="false" customHeight="false" outlineLevel="0" collapsed="false">
      <c r="A46" s="15" t="s">
        <v>256</v>
      </c>
      <c r="B46" s="4" t="n">
        <v>2726.155</v>
      </c>
      <c r="C46" s="20" t="n">
        <v>0.138798050734459</v>
      </c>
      <c r="D46" s="20" t="n">
        <v>0.0547621100047503</v>
      </c>
      <c r="E46" s="20" t="n">
        <v>0.0432513925290382</v>
      </c>
      <c r="F46" s="0" t="s">
        <v>257</v>
      </c>
      <c r="G46" s="4" t="n">
        <v>1633.685</v>
      </c>
      <c r="H46" s="20" t="n">
        <v>0.0840584323171236</v>
      </c>
      <c r="I46" s="20" t="n">
        <v>0.0287968610839911</v>
      </c>
      <c r="J46" s="20" t="n">
        <v>0.0201752479823222</v>
      </c>
    </row>
    <row r="47" customFormat="false" ht="13.8" hidden="false" customHeight="false" outlineLevel="0" collapsed="false">
      <c r="A47" s="15" t="s">
        <v>258</v>
      </c>
      <c r="B47" s="4" t="n">
        <v>1867.09</v>
      </c>
      <c r="C47" s="20" t="n">
        <v>0.0733655046087762</v>
      </c>
      <c r="D47" s="20" t="n">
        <v>0.0288898767600919</v>
      </c>
      <c r="E47" s="20" t="n">
        <v>0.0231456437557911</v>
      </c>
      <c r="F47" s="0" t="s">
        <v>259</v>
      </c>
      <c r="G47" s="4" t="n">
        <v>644.53</v>
      </c>
      <c r="H47" s="20" t="n">
        <v>0.104587839200658</v>
      </c>
      <c r="I47" s="20" t="n">
        <v>0.0350720680185562</v>
      </c>
      <c r="J47" s="20" t="n">
        <v>0.0245915628442431</v>
      </c>
    </row>
    <row r="48" customFormat="false" ht="13.8" hidden="false" customHeight="false" outlineLevel="0" collapsed="false">
      <c r="A48" s="15" t="s">
        <v>260</v>
      </c>
      <c r="B48" s="4" t="n">
        <v>566.12</v>
      </c>
      <c r="C48" s="20" t="n">
        <v>0.106629336536423</v>
      </c>
      <c r="D48" s="20" t="n">
        <v>0.0453790715749311</v>
      </c>
      <c r="E48" s="20" t="n">
        <v>0.0376686921500742</v>
      </c>
      <c r="F48" s="0" t="s">
        <v>261</v>
      </c>
      <c r="G48" s="4" t="n">
        <v>2243.855</v>
      </c>
      <c r="H48" s="20" t="n">
        <v>0.0603002422170773</v>
      </c>
      <c r="I48" s="20" t="n">
        <v>0.0197873748526531</v>
      </c>
      <c r="J48" s="20" t="n">
        <v>0.014107417814431</v>
      </c>
    </row>
    <row r="49" customFormat="false" ht="13.8" hidden="false" customHeight="false" outlineLevel="0" collapsed="false">
      <c r="A49" s="15" t="s">
        <v>262</v>
      </c>
      <c r="B49" s="4" t="n">
        <v>394.585</v>
      </c>
      <c r="C49" s="20" t="n">
        <v>0.0937947463791072</v>
      </c>
      <c r="D49" s="20" t="n">
        <v>0.0370262427613822</v>
      </c>
      <c r="E49" s="20" t="n">
        <v>0.0295500335795836</v>
      </c>
      <c r="F49" s="0" t="s">
        <v>263</v>
      </c>
      <c r="G49" s="4" t="n">
        <v>891.295</v>
      </c>
      <c r="H49" s="20" t="n">
        <v>0.104752074229071</v>
      </c>
      <c r="I49" s="20" t="n">
        <v>0.0417538525404047</v>
      </c>
      <c r="J49" s="20" t="n">
        <v>0.0327164406846218</v>
      </c>
    </row>
    <row r="50" customFormat="false" ht="13.8" hidden="false" customHeight="false" outlineLevel="0" collapsed="false">
      <c r="A50" s="15" t="s">
        <v>264</v>
      </c>
      <c r="B50" s="4" t="n">
        <v>3388.44</v>
      </c>
      <c r="C50" s="20" t="n">
        <v>0.0770103646515801</v>
      </c>
      <c r="D50" s="20" t="n">
        <v>0.024765083637308</v>
      </c>
      <c r="E50" s="20" t="n">
        <v>0.0164603770466645</v>
      </c>
      <c r="F50" s="0" t="s">
        <v>265</v>
      </c>
      <c r="G50" s="4" t="n">
        <v>397.865</v>
      </c>
      <c r="H50" s="20" t="n">
        <v>0.137282746660299</v>
      </c>
      <c r="I50" s="20" t="n">
        <v>0.051148002463147</v>
      </c>
      <c r="J50" s="20" t="n">
        <v>0.0332776192929763</v>
      </c>
    </row>
    <row r="51" customFormat="false" ht="13.8" hidden="false" customHeight="false" outlineLevel="0" collapsed="false">
      <c r="A51" s="17" t="s">
        <v>111</v>
      </c>
      <c r="F51" s="0" t="s">
        <v>266</v>
      </c>
      <c r="G51" s="4" t="n">
        <v>760.775</v>
      </c>
      <c r="H51" s="20" t="n">
        <v>0.159357234399132</v>
      </c>
      <c r="I51" s="20" t="n">
        <v>0.0605106634681739</v>
      </c>
      <c r="J51" s="20" t="n">
        <v>0.0376195327133515</v>
      </c>
    </row>
    <row r="52" customFormat="false" ht="13.8" hidden="false" customHeight="false" outlineLevel="0" collapsed="false">
      <c r="A52" s="15" t="s">
        <v>267</v>
      </c>
      <c r="B52" s="4" t="n">
        <v>13259.01</v>
      </c>
      <c r="C52" s="20" t="n">
        <v>0.0696760165351712</v>
      </c>
      <c r="D52" s="20" t="n">
        <v>0.0227671598407423</v>
      </c>
      <c r="E52" s="20" t="n">
        <v>0.0163941350070631</v>
      </c>
      <c r="F52" s="0" t="s">
        <v>268</v>
      </c>
      <c r="G52" s="4" t="n">
        <v>286.515</v>
      </c>
      <c r="H52" s="20" t="n">
        <v>0.0866272271957838</v>
      </c>
      <c r="I52" s="20" t="n">
        <v>0.0292654834825402</v>
      </c>
      <c r="J52" s="20" t="n">
        <v>0.0201909149608223</v>
      </c>
    </row>
    <row r="53" customFormat="false" ht="13.8" hidden="false" customHeight="false" outlineLevel="0" collapsed="false">
      <c r="A53" s="15" t="s">
        <v>269</v>
      </c>
      <c r="B53" s="4" t="n">
        <v>1140.57</v>
      </c>
      <c r="C53" s="20" t="n">
        <v>0.071955250444953</v>
      </c>
      <c r="D53" s="20" t="n">
        <v>0.0247770851416397</v>
      </c>
      <c r="E53" s="20" t="n">
        <v>0.0191965420798373</v>
      </c>
      <c r="F53" s="0" t="s">
        <v>270</v>
      </c>
      <c r="G53" s="4" t="n">
        <v>1118.79</v>
      </c>
      <c r="H53" s="20" t="n">
        <v>0.135588448234253</v>
      </c>
      <c r="I53" s="20" t="n">
        <v>0.0504294818509282</v>
      </c>
      <c r="J53" s="20" t="n">
        <v>0.0335183546510069</v>
      </c>
    </row>
    <row r="54" customFormat="false" ht="13.8" hidden="false" customHeight="false" outlineLevel="0" collapsed="false">
      <c r="A54" s="15" t="s">
        <v>192</v>
      </c>
      <c r="B54" s="4" t="n">
        <v>2363.57</v>
      </c>
      <c r="C54" s="20" t="n">
        <v>0.298948201237958</v>
      </c>
      <c r="D54" s="20" t="n">
        <v>0.11504207618137</v>
      </c>
      <c r="E54" s="20" t="n">
        <v>0.0790879897781745</v>
      </c>
      <c r="F54" s="0" t="s">
        <v>271</v>
      </c>
      <c r="G54" s="4" t="n">
        <v>27.91</v>
      </c>
      <c r="H54" s="20" t="n">
        <v>0.161232533142243</v>
      </c>
      <c r="I54" s="20" t="n">
        <v>0.0612683625940523</v>
      </c>
      <c r="J54" s="20" t="n">
        <v>0.0378000716589036</v>
      </c>
    </row>
    <row r="55" customFormat="false" ht="13.8" hidden="false" customHeight="false" outlineLevel="0" collapsed="false">
      <c r="A55" s="15" t="s">
        <v>194</v>
      </c>
      <c r="B55" s="4" t="n">
        <v>1065.745</v>
      </c>
      <c r="C55" s="20" t="n">
        <v>0.00988979540133897</v>
      </c>
      <c r="D55" s="20" t="n">
        <v>0.00282900693880806</v>
      </c>
      <c r="E55" s="20" t="n">
        <v>0.0020455174549259</v>
      </c>
      <c r="F55" s="0" t="s">
        <v>272</v>
      </c>
      <c r="G55" s="4" t="n">
        <v>825.47</v>
      </c>
      <c r="H55" s="20" t="n">
        <v>0.123638654342375</v>
      </c>
      <c r="I55" s="20" t="n">
        <v>0.0415157425466704</v>
      </c>
      <c r="J55" s="20" t="n">
        <v>0.0310974354004385</v>
      </c>
    </row>
    <row r="56" customFormat="false" ht="13.8" hidden="false" customHeight="false" outlineLevel="0" collapsed="false">
      <c r="A56" s="15" t="s">
        <v>196</v>
      </c>
      <c r="B56" s="4" t="n">
        <v>261.615</v>
      </c>
      <c r="C56" s="20" t="n">
        <v>0.0244060929228064</v>
      </c>
      <c r="D56" s="20" t="n">
        <v>0.00577184029967701</v>
      </c>
      <c r="E56" s="20" t="n">
        <v>0.00382241079448808</v>
      </c>
      <c r="F56" s="0" t="s">
        <v>273</v>
      </c>
      <c r="G56" s="4" t="n">
        <v>1401.935</v>
      </c>
      <c r="H56" s="20" t="n">
        <v>0.0673747356332498</v>
      </c>
      <c r="I56" s="20" t="n">
        <v>0.0245125487272948</v>
      </c>
      <c r="J56" s="20" t="n">
        <v>0.0160884777111635</v>
      </c>
    </row>
    <row r="57" customFormat="false" ht="13.8" hidden="false" customHeight="false" outlineLevel="0" collapsed="false">
      <c r="A57" s="15" t="s">
        <v>184</v>
      </c>
      <c r="B57" s="4" t="n">
        <v>232.39</v>
      </c>
      <c r="C57" s="20" t="n">
        <v>0.191617539481045</v>
      </c>
      <c r="D57" s="20" t="n">
        <v>0.126145703343517</v>
      </c>
      <c r="E57" s="20" t="n">
        <v>0.118292525495934</v>
      </c>
      <c r="F57" s="0" t="s">
        <v>274</v>
      </c>
      <c r="G57" s="4" t="n">
        <v>2154.005</v>
      </c>
      <c r="H57" s="20" t="n">
        <v>0.0715411524114382</v>
      </c>
      <c r="I57" s="20" t="n">
        <v>0.0247701374880745</v>
      </c>
      <c r="J57" s="20" t="n">
        <v>0.0170124953284695</v>
      </c>
    </row>
    <row r="58" customFormat="false" ht="13.8" hidden="false" customHeight="false" outlineLevel="0" collapsed="false">
      <c r="A58" s="17" t="s">
        <v>275</v>
      </c>
      <c r="F58" s="0" t="s">
        <v>276</v>
      </c>
      <c r="G58" s="4" t="n">
        <v>396.605</v>
      </c>
      <c r="H58" s="20" t="n">
        <v>0.0796510381866089</v>
      </c>
      <c r="I58" s="20" t="n">
        <v>0.0305341586717263</v>
      </c>
      <c r="J58" s="20" t="n">
        <v>0.0234868445934872</v>
      </c>
    </row>
    <row r="59" customFormat="false" ht="13.8" hidden="false" customHeight="false" outlineLevel="0" collapsed="false">
      <c r="A59" s="15" t="s">
        <v>154</v>
      </c>
      <c r="B59" s="4" t="n">
        <v>4850.785</v>
      </c>
      <c r="C59" s="20" t="n">
        <v>0.0876229311338268</v>
      </c>
      <c r="D59" s="20" t="n">
        <v>0.0303950803838966</v>
      </c>
      <c r="E59" s="20" t="n">
        <v>0.0229066017149802</v>
      </c>
      <c r="F59" s="0" t="s">
        <v>277</v>
      </c>
      <c r="G59" s="4" t="n">
        <v>1423.39</v>
      </c>
      <c r="H59" s="20" t="n">
        <v>0.0626427050913664</v>
      </c>
      <c r="I59" s="20" t="n">
        <v>0.0208165014507619</v>
      </c>
      <c r="J59" s="20" t="n">
        <v>0.0159021771966924</v>
      </c>
    </row>
    <row r="60" customFormat="false" ht="13.8" hidden="false" customHeight="false" outlineLevel="0" collapsed="false">
      <c r="A60" s="15" t="s">
        <v>278</v>
      </c>
      <c r="B60" s="4" t="n">
        <v>2113.485</v>
      </c>
      <c r="C60" s="20" t="n">
        <v>0.0874763719638417</v>
      </c>
      <c r="D60" s="20" t="n">
        <v>0.0314480585383856</v>
      </c>
      <c r="E60" s="20" t="n">
        <v>0.0252781543280411</v>
      </c>
      <c r="F60" s="0" t="s">
        <v>279</v>
      </c>
      <c r="G60" s="4" t="n">
        <v>795.665</v>
      </c>
      <c r="H60" s="20" t="n">
        <v>0.0822456687173622</v>
      </c>
      <c r="I60" s="20" t="n">
        <v>0.0286929800858401</v>
      </c>
      <c r="J60" s="20" t="n">
        <v>0.0208379154543684</v>
      </c>
    </row>
    <row r="61" customFormat="false" ht="13.8" hidden="false" customHeight="false" outlineLevel="0" collapsed="false">
      <c r="A61" s="15" t="s">
        <v>280</v>
      </c>
      <c r="B61" s="4" t="n">
        <v>1953.805</v>
      </c>
      <c r="C61" s="20" t="n">
        <v>0.105770534930559</v>
      </c>
      <c r="D61" s="20" t="n">
        <v>0.0395356752593017</v>
      </c>
      <c r="E61" s="20" t="n">
        <v>0.0306760398299728</v>
      </c>
      <c r="F61" s="0" t="s">
        <v>281</v>
      </c>
      <c r="G61" s="4" t="n">
        <v>1209.34</v>
      </c>
      <c r="H61" s="20" t="n">
        <v>0.090429490465874</v>
      </c>
      <c r="I61" s="20" t="n">
        <v>0.0319099674202458</v>
      </c>
      <c r="J61" s="20" t="n">
        <v>0.0202383118064399</v>
      </c>
    </row>
    <row r="62" customFormat="false" ht="13.8" hidden="false" customHeight="false" outlineLevel="0" collapsed="false">
      <c r="A62" s="15" t="s">
        <v>282</v>
      </c>
      <c r="B62" s="4" t="n">
        <v>4530.285</v>
      </c>
      <c r="C62" s="20" t="n">
        <v>0.0984286860539679</v>
      </c>
      <c r="D62" s="20" t="n">
        <v>0.0355783355793289</v>
      </c>
      <c r="E62" s="20" t="n">
        <v>0.025237926532216</v>
      </c>
      <c r="F62" s="17" t="s">
        <v>283</v>
      </c>
      <c r="G62" s="4"/>
    </row>
    <row r="63" customFormat="false" ht="13.8" hidden="false" customHeight="false" outlineLevel="0" collapsed="false">
      <c r="A63" s="15" t="s">
        <v>162</v>
      </c>
      <c r="B63" s="4" t="n">
        <v>3298.89</v>
      </c>
      <c r="C63" s="20" t="n">
        <v>0.104382080032981</v>
      </c>
      <c r="D63" s="20" t="n">
        <v>0.0366820354725377</v>
      </c>
      <c r="E63" s="20" t="n">
        <v>0.0235518613836775</v>
      </c>
      <c r="F63" s="15" t="s">
        <v>271</v>
      </c>
      <c r="G63" s="4" t="n">
        <v>1799.74</v>
      </c>
      <c r="H63" s="20" t="n">
        <v>0.0978113505284096</v>
      </c>
      <c r="I63" s="20" t="n">
        <v>0.0355190194139153</v>
      </c>
      <c r="J63" s="20" t="n">
        <v>0.023817329169769</v>
      </c>
    </row>
    <row r="64" customFormat="false" ht="13.8" hidden="false" customHeight="false" outlineLevel="0" collapsed="false">
      <c r="A64" s="15" t="s">
        <v>284</v>
      </c>
      <c r="B64" s="4" t="n">
        <v>1575.65</v>
      </c>
      <c r="C64" s="20" t="n">
        <v>0.10606099070225</v>
      </c>
      <c r="D64" s="20" t="n">
        <v>0.0396915558658331</v>
      </c>
      <c r="E64" s="20" t="n">
        <v>0.0256148256275188</v>
      </c>
      <c r="F64" s="15" t="s">
        <v>285</v>
      </c>
      <c r="G64" s="4" t="n">
        <v>2809.715</v>
      </c>
      <c r="H64" s="20" t="n">
        <v>0.105037343645174</v>
      </c>
      <c r="I64" s="20" t="n">
        <v>0.0371603525624485</v>
      </c>
      <c r="J64" s="20" t="n">
        <v>0.0238227008789148</v>
      </c>
    </row>
    <row r="65" customFormat="false" ht="13.8" hidden="false" customHeight="false" outlineLevel="0" collapsed="false">
      <c r="A65" s="17" t="s">
        <v>145</v>
      </c>
      <c r="F65" s="15" t="s">
        <v>286</v>
      </c>
      <c r="G65" s="4" t="n">
        <v>1200.675</v>
      </c>
      <c r="H65" s="20" t="n">
        <v>0.147283819518188</v>
      </c>
      <c r="I65" s="20" t="n">
        <v>0.0563849501322173</v>
      </c>
      <c r="J65" s="20" t="n">
        <v>0.0377412705353239</v>
      </c>
    </row>
    <row r="66" customFormat="false" ht="13.8" hidden="false" customHeight="false" outlineLevel="0" collapsed="false">
      <c r="A66" s="15" t="s">
        <v>200</v>
      </c>
      <c r="B66" s="4" t="n">
        <v>6558.185</v>
      </c>
      <c r="C66" s="20" t="n">
        <v>0.143693720137508</v>
      </c>
      <c r="D66" s="20" t="n">
        <v>0.047356852543806</v>
      </c>
      <c r="E66" s="20" t="n">
        <v>0.0316284154838572</v>
      </c>
      <c r="F66" s="15" t="s">
        <v>287</v>
      </c>
      <c r="G66" s="4" t="n">
        <v>1278.845</v>
      </c>
      <c r="H66" s="20" t="n">
        <v>0.0699654766605805</v>
      </c>
      <c r="I66" s="20" t="n">
        <v>0.0244791198307848</v>
      </c>
      <c r="J66" s="20" t="n">
        <v>0.016941067916753</v>
      </c>
    </row>
    <row r="67" customFormat="false" ht="13.8" hidden="false" customHeight="false" outlineLevel="0" collapsed="false">
      <c r="A67" s="15" t="s">
        <v>202</v>
      </c>
      <c r="B67" s="4" t="n">
        <v>3515.635</v>
      </c>
      <c r="C67" s="20" t="n">
        <v>0.067838384815261</v>
      </c>
      <c r="D67" s="20" t="n">
        <v>0.0211867841798139</v>
      </c>
      <c r="E67" s="20" t="n">
        <v>0.0156543554720555</v>
      </c>
      <c r="F67" s="15" t="s">
        <v>288</v>
      </c>
      <c r="G67" s="4" t="n">
        <v>2121.26</v>
      </c>
      <c r="H67" s="20" t="n">
        <v>0.0756390070052705</v>
      </c>
      <c r="I67" s="20" t="n">
        <v>0.0271442444584822</v>
      </c>
      <c r="J67" s="20" t="n">
        <v>0.0183381575101591</v>
      </c>
    </row>
    <row r="68" customFormat="false" ht="13.8" hidden="false" customHeight="false" outlineLevel="0" collapsed="false">
      <c r="A68" s="15" t="s">
        <v>204</v>
      </c>
      <c r="B68" s="4" t="n">
        <v>3210.495</v>
      </c>
      <c r="C68" s="20" t="n">
        <v>0.0637518513500255</v>
      </c>
      <c r="D68" s="20" t="n">
        <v>0.0262794366600789</v>
      </c>
      <c r="E68" s="20" t="n">
        <v>0.0201401964494572</v>
      </c>
      <c r="F68" s="15" t="s">
        <v>289</v>
      </c>
      <c r="G68" s="4" t="n">
        <v>511.275</v>
      </c>
      <c r="H68" s="20" t="n">
        <v>0.102195491662999</v>
      </c>
      <c r="I68" s="20" t="n">
        <v>0.0378074421788666</v>
      </c>
      <c r="J68" s="20" t="n">
        <v>0.027382524081952</v>
      </c>
    </row>
    <row r="69" customFormat="false" ht="13.8" hidden="false" customHeight="false" outlineLevel="0" collapsed="false">
      <c r="A69" s="15" t="s">
        <v>206</v>
      </c>
      <c r="B69" s="4" t="n">
        <v>2193.675</v>
      </c>
      <c r="C69" s="20" t="n">
        <v>0.060177555927838</v>
      </c>
      <c r="D69" s="20" t="n">
        <v>0.0256692536496974</v>
      </c>
      <c r="E69" s="20" t="n">
        <v>0.0201670712389028</v>
      </c>
      <c r="F69" s="15" t="s">
        <v>290</v>
      </c>
      <c r="G69" s="4" t="n">
        <v>4539.56</v>
      </c>
      <c r="H69" s="20" t="n">
        <v>0.0749202565887443</v>
      </c>
      <c r="I69" s="20" t="n">
        <v>0.0250453788472892</v>
      </c>
      <c r="J69" s="20" t="n">
        <v>0.0185293288336315</v>
      </c>
    </row>
    <row r="70" customFormat="false" ht="13.8" hidden="false" customHeight="false" outlineLevel="0" collapsed="false">
      <c r="A70" s="15" t="s">
        <v>207</v>
      </c>
      <c r="B70" s="4" t="n">
        <v>2844.91</v>
      </c>
      <c r="C70" s="20" t="n">
        <v>0.090125873929228</v>
      </c>
      <c r="D70" s="20" t="n">
        <v>0.0387147572330935</v>
      </c>
      <c r="E70" s="20" t="n">
        <v>0.0300571898583786</v>
      </c>
      <c r="F70" s="15" t="s">
        <v>291</v>
      </c>
      <c r="G70" s="4" t="n">
        <v>2780.87</v>
      </c>
      <c r="H70" s="20" t="n">
        <v>0.125446353119707</v>
      </c>
      <c r="I70" s="20" t="n">
        <v>0.0444770881055209</v>
      </c>
      <c r="J70" s="20" t="n">
        <v>0.0354673177818452</v>
      </c>
    </row>
    <row r="71" customFormat="false" ht="13.8" hidden="false" customHeight="false" outlineLevel="0" collapsed="false">
      <c r="A71" s="2" t="s">
        <v>292</v>
      </c>
      <c r="B71" s="0"/>
      <c r="F71" s="15" t="s">
        <v>293</v>
      </c>
      <c r="G71" s="4" t="n">
        <v>415.88</v>
      </c>
      <c r="H71" s="20" t="n">
        <v>0.138249014138694</v>
      </c>
      <c r="I71" s="20" t="n">
        <v>0.0636722131384053</v>
      </c>
      <c r="J71" s="20" t="n">
        <v>0.0560257766663461</v>
      </c>
    </row>
    <row r="72" customFormat="false" ht="13.8" hidden="false" customHeight="false" outlineLevel="0" collapsed="false">
      <c r="A72" s="13" t="s">
        <v>294</v>
      </c>
      <c r="B72" s="25" t="n">
        <v>-0.003</v>
      </c>
      <c r="C72" s="25" t="n">
        <v>-0.0082</v>
      </c>
      <c r="D72" s="25" t="n">
        <v>-0.08</v>
      </c>
      <c r="E72" s="25" t="n">
        <v>-0.11</v>
      </c>
      <c r="F72" s="15" t="s">
        <v>295</v>
      </c>
      <c r="G72" s="4" t="n">
        <v>865.075</v>
      </c>
      <c r="H72" s="20" t="n">
        <v>0.0893853134121319</v>
      </c>
      <c r="I72" s="20" t="n">
        <v>0.0321012628962807</v>
      </c>
      <c r="J72" s="20" t="n">
        <v>0.024437187527093</v>
      </c>
    </row>
    <row r="73" customFormat="false" ht="13.8" hidden="false" customHeight="false" outlineLevel="0" collapsed="false">
      <c r="A73" s="15" t="s">
        <v>296</v>
      </c>
      <c r="B73" s="25" t="n">
        <v>0</v>
      </c>
      <c r="C73" s="25" t="n">
        <v>0.01</v>
      </c>
      <c r="D73" s="25" t="n">
        <v>-0.06</v>
      </c>
      <c r="E73" s="25" t="n">
        <v>-0.09</v>
      </c>
      <c r="H73" s="0"/>
      <c r="I73" s="0"/>
      <c r="J73" s="0"/>
    </row>
    <row r="74" customFormat="false" ht="13.8" hidden="false" customHeight="false" outlineLevel="0" collapsed="false">
      <c r="A74" s="0"/>
      <c r="B74" s="0"/>
      <c r="C74" s="0"/>
      <c r="D74" s="0"/>
      <c r="E74" s="0"/>
      <c r="H74" s="0"/>
      <c r="I74" s="0"/>
      <c r="J74" s="0"/>
      <c r="L74" s="25"/>
      <c r="M74" s="25"/>
      <c r="N74" s="25"/>
      <c r="O74" s="25"/>
    </row>
    <row r="81" customFormat="false" ht="13.8" hidden="false" customHeight="false" outlineLevel="0" collapsed="false">
      <c r="A81" s="0" t="s">
        <v>297</v>
      </c>
      <c r="B81" s="0"/>
      <c r="H81" s="0"/>
      <c r="I81" s="0"/>
      <c r="J81" s="0"/>
    </row>
    <row r="82" customFormat="false" ht="13.8" hidden="false" customHeight="false" outlineLevel="0" collapsed="false">
      <c r="A82" s="0" t="s">
        <v>252</v>
      </c>
      <c r="B82" s="0"/>
      <c r="H82" s="0"/>
      <c r="I82" s="0"/>
      <c r="J82" s="0"/>
    </row>
    <row r="83" customFormat="false" ht="13.8" hidden="false" customHeight="false" outlineLevel="0" collapsed="false">
      <c r="A83" s="0" t="s">
        <v>253</v>
      </c>
      <c r="B83" s="0"/>
      <c r="H83" s="0"/>
      <c r="I83" s="0"/>
      <c r="J83" s="0"/>
    </row>
    <row r="84" customFormat="false" ht="13.8" hidden="false" customHeight="false" outlineLevel="0" collapsed="false">
      <c r="A84" s="0" t="s">
        <v>255</v>
      </c>
      <c r="B84" s="0"/>
      <c r="H84" s="0"/>
      <c r="I84" s="0"/>
      <c r="J84" s="0"/>
    </row>
    <row r="85" customFormat="false" ht="13.8" hidden="false" customHeight="false" outlineLevel="0" collapsed="false">
      <c r="A85" s="0" t="s">
        <v>257</v>
      </c>
      <c r="B85" s="0"/>
      <c r="H85" s="0"/>
      <c r="I85" s="0"/>
      <c r="J85" s="0"/>
    </row>
    <row r="86" customFormat="false" ht="13.8" hidden="false" customHeight="false" outlineLevel="0" collapsed="false">
      <c r="A86" s="0" t="s">
        <v>259</v>
      </c>
      <c r="B86" s="0"/>
      <c r="H86" s="0"/>
      <c r="I86" s="0"/>
      <c r="J86" s="0"/>
    </row>
    <row r="87" customFormat="false" ht="13.8" hidden="false" customHeight="false" outlineLevel="0" collapsed="false">
      <c r="A87" s="0" t="s">
        <v>261</v>
      </c>
      <c r="B87" s="0"/>
      <c r="H87" s="0"/>
      <c r="I87" s="0"/>
      <c r="J87" s="0"/>
    </row>
    <row r="88" customFormat="false" ht="13.8" hidden="false" customHeight="false" outlineLevel="0" collapsed="false">
      <c r="A88" s="0" t="s">
        <v>298</v>
      </c>
      <c r="B88" s="0"/>
      <c r="H88" s="0"/>
      <c r="I88" s="0"/>
      <c r="J88" s="0"/>
    </row>
    <row r="89" customFormat="false" ht="13.8" hidden="false" customHeight="false" outlineLevel="0" collapsed="false">
      <c r="A89" s="0" t="s">
        <v>265</v>
      </c>
      <c r="B89" s="0"/>
      <c r="H89" s="0"/>
      <c r="I89" s="0"/>
      <c r="J89" s="0"/>
    </row>
    <row r="90" customFormat="false" ht="13.8" hidden="false" customHeight="false" outlineLevel="0" collapsed="false">
      <c r="A90" s="0" t="s">
        <v>266</v>
      </c>
      <c r="B90" s="0"/>
      <c r="H90" s="0"/>
      <c r="I90" s="0"/>
      <c r="J90" s="0"/>
    </row>
    <row r="91" customFormat="false" ht="13.8" hidden="false" customHeight="false" outlineLevel="0" collapsed="false">
      <c r="A91" s="0" t="s">
        <v>268</v>
      </c>
      <c r="B91" s="0"/>
      <c r="H91" s="0"/>
      <c r="I91" s="0"/>
      <c r="J91" s="0"/>
    </row>
    <row r="92" customFormat="false" ht="13.8" hidden="false" customHeight="false" outlineLevel="0" collapsed="false">
      <c r="A92" s="0" t="s">
        <v>299</v>
      </c>
      <c r="B92" s="0"/>
      <c r="H92" s="0"/>
      <c r="I92" s="0"/>
      <c r="J92" s="0"/>
    </row>
    <row r="93" customFormat="false" ht="13.8" hidden="false" customHeight="false" outlineLevel="0" collapsed="false">
      <c r="A93" s="0" t="s">
        <v>271</v>
      </c>
      <c r="B93" s="0"/>
      <c r="H93" s="0"/>
      <c r="I93" s="0"/>
      <c r="J93" s="0"/>
    </row>
    <row r="94" customFormat="false" ht="13.8" hidden="false" customHeight="false" outlineLevel="0" collapsed="false">
      <c r="A94" s="0" t="s">
        <v>272</v>
      </c>
      <c r="B94" s="0"/>
      <c r="H94" s="0"/>
      <c r="I94" s="0"/>
      <c r="J94" s="0"/>
    </row>
    <row r="95" customFormat="false" ht="13.8" hidden="false" customHeight="false" outlineLevel="0" collapsed="false">
      <c r="A95" s="0" t="s">
        <v>273</v>
      </c>
      <c r="B95" s="0"/>
      <c r="H95" s="0"/>
      <c r="I95" s="0"/>
      <c r="J95" s="0"/>
    </row>
    <row r="96" customFormat="false" ht="13.8" hidden="false" customHeight="false" outlineLevel="0" collapsed="false">
      <c r="A96" s="0" t="s">
        <v>300</v>
      </c>
      <c r="B96" s="0"/>
      <c r="H96" s="0"/>
      <c r="I96" s="0"/>
      <c r="J96" s="0"/>
    </row>
    <row r="97" customFormat="false" ht="13.8" hidden="false" customHeight="false" outlineLevel="0" collapsed="false">
      <c r="A97" s="0" t="s">
        <v>301</v>
      </c>
      <c r="B97" s="0"/>
      <c r="H97" s="0"/>
      <c r="I97" s="0"/>
      <c r="J97" s="0"/>
    </row>
    <row r="98" customFormat="false" ht="13.8" hidden="false" customHeight="false" outlineLevel="0" collapsed="false">
      <c r="A98" s="0" t="s">
        <v>277</v>
      </c>
      <c r="B98" s="0"/>
      <c r="H98" s="0"/>
      <c r="I98" s="0"/>
      <c r="J98" s="0"/>
    </row>
    <row r="99" customFormat="false" ht="13.8" hidden="false" customHeight="false" outlineLevel="0" collapsed="false">
      <c r="A99" s="0" t="s">
        <v>279</v>
      </c>
      <c r="B99" s="0"/>
      <c r="H99" s="0"/>
      <c r="I99" s="0"/>
      <c r="J99" s="0"/>
    </row>
    <row r="100" customFormat="false" ht="13.8" hidden="false" customHeight="false" outlineLevel="0" collapsed="false">
      <c r="A100" s="0" t="s">
        <v>281</v>
      </c>
      <c r="B100" s="0"/>
      <c r="H100" s="0"/>
      <c r="I100" s="0"/>
      <c r="J100" s="0"/>
    </row>
    <row r="101" customFormat="false" ht="13.8" hidden="false" customHeight="false" outlineLevel="0" collapsed="false">
      <c r="A101" s="0"/>
      <c r="B101" s="0"/>
      <c r="H101" s="0"/>
      <c r="I101" s="0"/>
      <c r="J101" s="0"/>
    </row>
    <row r="102" customFormat="false" ht="13.8" hidden="false" customHeight="false" outlineLevel="0" collapsed="false">
      <c r="A102" s="0"/>
      <c r="B102" s="0"/>
      <c r="H102" s="0"/>
      <c r="I102" s="0"/>
      <c r="J102" s="0"/>
    </row>
    <row r="103" customFormat="false" ht="13.8" hidden="false" customHeight="false" outlineLevel="0" collapsed="false">
      <c r="A103" s="0"/>
      <c r="B103" s="0"/>
      <c r="H103" s="0"/>
      <c r="I103" s="0"/>
      <c r="J103" s="0"/>
    </row>
    <row r="104" customFormat="false" ht="13.8" hidden="false" customHeight="false" outlineLevel="0" collapsed="false">
      <c r="A104" s="0"/>
      <c r="B104" s="0"/>
      <c r="H104" s="0"/>
      <c r="I104" s="0"/>
      <c r="J104" s="0"/>
    </row>
    <row r="105" customFormat="false" ht="13.8" hidden="false" customHeight="false" outlineLevel="0" collapsed="false">
      <c r="A105" s="0"/>
      <c r="B105" s="0"/>
    </row>
    <row r="106" customFormat="false" ht="13.8" hidden="false" customHeight="false" outlineLevel="0" collapsed="false">
      <c r="A106" s="0"/>
      <c r="B106" s="0"/>
    </row>
    <row r="107" customFormat="false" ht="13.8" hidden="false" customHeight="false" outlineLevel="0" collapsed="false">
      <c r="A107" s="0"/>
      <c r="B107" s="0"/>
    </row>
    <row r="108" customFormat="false" ht="13.8" hidden="false" customHeight="false" outlineLevel="0" collapsed="false">
      <c r="A108" s="0"/>
      <c r="B108" s="0"/>
    </row>
    <row r="109" customFormat="false" ht="13.8" hidden="false" customHeight="false" outlineLevel="0" collapsed="false">
      <c r="A109" s="0"/>
      <c r="B109" s="0"/>
    </row>
    <row r="110" customFormat="false" ht="13.8" hidden="false" customHeight="false" outlineLevel="0" collapsed="false">
      <c r="A110" s="0"/>
      <c r="B110" s="0"/>
    </row>
    <row r="111" customFormat="false" ht="13.8" hidden="false" customHeight="false" outlineLevel="0" collapsed="false">
      <c r="A111" s="0"/>
      <c r="B111" s="0"/>
    </row>
    <row r="112" customFormat="false" ht="13.8" hidden="false" customHeight="false" outlineLevel="0" collapsed="false">
      <c r="A112" s="0"/>
      <c r="B112" s="0"/>
    </row>
    <row r="113" customFormat="false" ht="13.8" hidden="false" customHeight="false" outlineLevel="0" collapsed="false">
      <c r="A113" s="0"/>
      <c r="B113" s="0"/>
    </row>
    <row r="114" customFormat="false" ht="13.8" hidden="false" customHeight="false" outlineLevel="0" collapsed="false">
      <c r="A114" s="0"/>
      <c r="B114" s="0"/>
    </row>
    <row r="115" customFormat="false" ht="13.8" hidden="false" customHeight="false" outlineLevel="0" collapsed="false">
      <c r="A115" s="0"/>
      <c r="B115" s="0"/>
    </row>
    <row r="116" customFormat="false" ht="13.8" hidden="false" customHeight="false" outlineLevel="0" collapsed="false">
      <c r="A116" s="0"/>
      <c r="B116" s="0"/>
    </row>
    <row r="117" customFormat="false" ht="13.8" hidden="false" customHeight="false" outlineLevel="0" collapsed="false">
      <c r="A117" s="0"/>
      <c r="B117" s="0"/>
    </row>
    <row r="118" customFormat="false" ht="13.8" hidden="false" customHeight="false" outlineLevel="0" collapsed="false">
      <c r="A118" s="0"/>
      <c r="B118" s="0"/>
    </row>
    <row r="119" customFormat="false" ht="13.8" hidden="false" customHeight="false" outlineLevel="0" collapsed="false">
      <c r="A119" s="0"/>
      <c r="B119" s="0"/>
    </row>
    <row r="120" customFormat="false" ht="13.8" hidden="false" customHeight="false" outlineLevel="0" collapsed="false">
      <c r="A120" s="0"/>
      <c r="B120" s="0"/>
    </row>
    <row r="121" customFormat="false" ht="13.8" hidden="false" customHeight="false" outlineLevel="0" collapsed="false">
      <c r="A121" s="0"/>
      <c r="B121" s="0"/>
    </row>
    <row r="122" customFormat="false" ht="13.8" hidden="false" customHeight="false" outlineLevel="0" collapsed="false">
      <c r="A122" s="0"/>
      <c r="B122" s="0"/>
    </row>
    <row r="123" customFormat="false" ht="13.8" hidden="false" customHeight="false" outlineLevel="0" collapsed="false">
      <c r="A123" s="0"/>
      <c r="B123" s="0"/>
    </row>
    <row r="124" customFormat="false" ht="13.8" hidden="false" customHeight="false" outlineLevel="0" collapsed="false">
      <c r="A124" s="0"/>
      <c r="B124" s="0"/>
    </row>
    <row r="125" customFormat="false" ht="13.8" hidden="false" customHeight="false" outlineLevel="0" collapsed="false">
      <c r="A125" s="0"/>
      <c r="B125" s="0"/>
    </row>
    <row r="126" customFormat="false" ht="13.8" hidden="false" customHeight="false" outlineLevel="0" collapsed="false">
      <c r="A126" s="0"/>
      <c r="B126" s="0"/>
    </row>
    <row r="127" customFormat="false" ht="13.8" hidden="false" customHeight="false" outlineLevel="0" collapsed="false">
      <c r="A127" s="0"/>
      <c r="B127" s="0"/>
    </row>
    <row r="128" customFormat="false" ht="13.8" hidden="false" customHeight="false" outlineLevel="0" collapsed="false">
      <c r="A128" s="0"/>
      <c r="B128" s="0"/>
    </row>
    <row r="130" customFormat="false" ht="13.8" hidden="false" customHeight="false" outlineLevel="0" collapsed="false">
      <c r="A130" s="0"/>
      <c r="B130" s="0"/>
    </row>
    <row r="131" customFormat="false" ht="13.8" hidden="false" customHeight="false" outlineLevel="0" collapsed="false">
      <c r="A131" s="0"/>
      <c r="B131" s="0"/>
    </row>
  </sheetData>
  <mergeCells count="4">
    <mergeCell ref="C1:E1"/>
    <mergeCell ref="H1:J1"/>
    <mergeCell ref="C39:E39"/>
    <mergeCell ref="H39:J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J6" activeCellId="0" sqref="J6"/>
    </sheetView>
  </sheetViews>
  <sheetFormatPr defaultColWidth="9.14453125" defaultRowHeight="13.8" zeroHeight="false" outlineLevelRow="0" outlineLevelCol="0"/>
  <cols>
    <col collapsed="false" customWidth="true" hidden="false" outlineLevel="0" max="1" min="1" style="15" width="31.55"/>
    <col collapsed="false" customWidth="true" hidden="false" outlineLevel="0" max="3" min="2" style="25" width="10.11"/>
    <col collapsed="false" customWidth="false" hidden="false" outlineLevel="0" max="4" min="4" style="25" width="9.11"/>
    <col collapsed="false" customWidth="true" hidden="false" outlineLevel="0" max="5" min="5" style="25" width="27.76"/>
    <col collapsed="false" customWidth="false" hidden="false" outlineLevel="0" max="8" min="6" style="25" width="9.14"/>
  </cols>
  <sheetData>
    <row r="1" customFormat="false" ht="13.8" hidden="false" customHeight="false" outlineLevel="0" collapsed="false">
      <c r="B1" s="26" t="s">
        <v>302</v>
      </c>
      <c r="C1" s="26"/>
      <c r="D1" s="26"/>
      <c r="F1" s="26" t="s">
        <v>302</v>
      </c>
      <c r="G1" s="26"/>
      <c r="H1" s="26"/>
    </row>
    <row r="2" customFormat="false" ht="13.8" hidden="false" customHeight="false" outlineLevel="0" collapsed="false">
      <c r="B2" s="27" t="s">
        <v>4</v>
      </c>
      <c r="C2" s="27" t="s">
        <v>5</v>
      </c>
      <c r="D2" s="27" t="s">
        <v>6</v>
      </c>
      <c r="F2" s="27" t="s">
        <v>4</v>
      </c>
      <c r="G2" s="27" t="s">
        <v>5</v>
      </c>
      <c r="H2" s="27" t="s">
        <v>6</v>
      </c>
    </row>
    <row r="3" customFormat="false" ht="13.8" hidden="false" customHeight="false" outlineLevel="0" collapsed="false">
      <c r="A3" s="0" t="s">
        <v>303</v>
      </c>
      <c r="B3" s="28" t="n">
        <v>0.0887329055086287</v>
      </c>
      <c r="C3" s="28" t="n">
        <v>0.0268870010817207</v>
      </c>
      <c r="D3" s="28" t="n">
        <v>0.0166057773272817</v>
      </c>
      <c r="E3" s="29" t="s">
        <v>212</v>
      </c>
    </row>
    <row r="4" customFormat="false" ht="13.8" hidden="false" customHeight="false" outlineLevel="0" collapsed="false">
      <c r="A4" s="17" t="s">
        <v>11</v>
      </c>
      <c r="E4" s="30" t="s">
        <v>214</v>
      </c>
    </row>
    <row r="5" customFormat="false" ht="13.8" hidden="false" customHeight="false" outlineLevel="0" collapsed="false">
      <c r="A5" s="15" t="s">
        <v>12</v>
      </c>
      <c r="E5" s="30" t="s">
        <v>228</v>
      </c>
      <c r="F5" s="28" t="n">
        <v>1.15328231717434</v>
      </c>
      <c r="G5" s="28" t="n">
        <v>1.12522994185561</v>
      </c>
      <c r="H5" s="28" t="n">
        <v>1.12996883343272</v>
      </c>
    </row>
    <row r="6" customFormat="false" ht="13.8" hidden="false" customHeight="false" outlineLevel="0" collapsed="false">
      <c r="A6" s="15" t="s">
        <v>14</v>
      </c>
      <c r="B6" s="28" t="n">
        <v>1.40235677567521</v>
      </c>
      <c r="C6" s="28" t="n">
        <v>1.40658485095964</v>
      </c>
      <c r="D6" s="28" t="n">
        <v>1.46247716149491</v>
      </c>
      <c r="E6" s="30" t="s">
        <v>229</v>
      </c>
      <c r="F6" s="28" t="n">
        <v>1.10848243768696</v>
      </c>
      <c r="G6" s="28" t="n">
        <v>1.08365697024407</v>
      </c>
      <c r="H6" s="28" t="n">
        <v>1.10046190054342</v>
      </c>
    </row>
    <row r="7" customFormat="false" ht="13.8" hidden="false" customHeight="false" outlineLevel="0" collapsed="false">
      <c r="A7" s="17" t="s">
        <v>18</v>
      </c>
      <c r="E7" s="30" t="s">
        <v>230</v>
      </c>
      <c r="F7" s="28" t="n">
        <v>1.03752818780847</v>
      </c>
      <c r="G7" s="28" t="n">
        <v>1.00996209423046</v>
      </c>
      <c r="H7" s="28" t="n">
        <v>1.03744203125198</v>
      </c>
    </row>
    <row r="8" customFormat="false" ht="13.8" hidden="false" customHeight="false" outlineLevel="0" collapsed="false">
      <c r="A8" s="15" t="s">
        <v>158</v>
      </c>
      <c r="E8" s="30" t="s">
        <v>231</v>
      </c>
      <c r="F8" s="28" t="n">
        <v>0.959620514644074</v>
      </c>
      <c r="G8" s="28" t="n">
        <v>0.955798327316973</v>
      </c>
      <c r="H8" s="28" t="n">
        <v>0.999386957154353</v>
      </c>
    </row>
    <row r="9" customFormat="false" ht="13.8" hidden="false" customHeight="false" outlineLevel="0" collapsed="false">
      <c r="A9" s="15" t="s">
        <v>161</v>
      </c>
      <c r="B9" s="28" t="n">
        <v>1.4296701036834</v>
      </c>
      <c r="C9" s="28" t="n">
        <v>1.43045045667977</v>
      </c>
      <c r="D9" s="28" t="n">
        <v>1.45246162114926</v>
      </c>
      <c r="E9" s="30" t="s">
        <v>232</v>
      </c>
      <c r="F9" s="28" t="n">
        <v>0.819614388306405</v>
      </c>
      <c r="G9" s="28" t="n">
        <v>0.787763632636525</v>
      </c>
      <c r="H9" s="28" t="n">
        <v>0.837346978123901</v>
      </c>
    </row>
    <row r="10" customFormat="false" ht="13.8" hidden="false" customHeight="false" outlineLevel="0" collapsed="false">
      <c r="A10" s="15" t="s">
        <v>163</v>
      </c>
      <c r="B10" s="28" t="n">
        <v>1.49998209755148</v>
      </c>
      <c r="C10" s="28" t="n">
        <v>1.4950756422518</v>
      </c>
      <c r="D10" s="28" t="n">
        <v>1.53015771076739</v>
      </c>
      <c r="E10" s="29" t="s">
        <v>233</v>
      </c>
    </row>
    <row r="11" customFormat="false" ht="13.8" hidden="false" customHeight="false" outlineLevel="0" collapsed="false">
      <c r="A11" s="15" t="s">
        <v>165</v>
      </c>
      <c r="B11" s="28" t="n">
        <v>1.44960756848634</v>
      </c>
      <c r="C11" s="28" t="n">
        <v>1.53356732994316</v>
      </c>
      <c r="D11" s="28" t="n">
        <v>1.64757099332321</v>
      </c>
      <c r="E11" s="30" t="s">
        <v>30</v>
      </c>
    </row>
    <row r="12" customFormat="false" ht="13.8" hidden="false" customHeight="false" outlineLevel="0" collapsed="false">
      <c r="A12" s="15" t="s">
        <v>167</v>
      </c>
      <c r="B12" s="28" t="n">
        <v>1.37589602487585</v>
      </c>
      <c r="C12" s="28" t="n">
        <v>1.51642127214928</v>
      </c>
      <c r="D12" s="28" t="n">
        <v>1.65831592741687</v>
      </c>
      <c r="E12" s="30" t="s">
        <v>119</v>
      </c>
      <c r="F12" s="28" t="n">
        <v>1.04465399770995</v>
      </c>
      <c r="G12" s="28" t="n">
        <v>1.02896775742923</v>
      </c>
      <c r="H12" s="28" t="n">
        <v>1.03956644201177</v>
      </c>
    </row>
    <row r="13" customFormat="false" ht="13.8" hidden="false" customHeight="false" outlineLevel="0" collapsed="false">
      <c r="A13" s="15" t="s">
        <v>234</v>
      </c>
      <c r="B13" s="28" t="n">
        <v>1.19734600837582</v>
      </c>
      <c r="C13" s="28" t="n">
        <v>1.29853373265186</v>
      </c>
      <c r="D13" s="28" t="n">
        <v>1.4427755281586</v>
      </c>
      <c r="E13" s="30" t="s">
        <v>156</v>
      </c>
      <c r="F13" s="28" t="n">
        <v>0.994655536245811</v>
      </c>
      <c r="G13" s="28" t="n">
        <v>0.971879277900452</v>
      </c>
      <c r="H13" s="28" t="n">
        <v>1.00596662087753</v>
      </c>
    </row>
    <row r="14" customFormat="false" ht="13.8" hidden="false" customHeight="false" outlineLevel="0" collapsed="false">
      <c r="A14" s="17" t="s">
        <v>70</v>
      </c>
      <c r="E14" s="29" t="s">
        <v>122</v>
      </c>
    </row>
    <row r="15" customFormat="false" ht="13.8" hidden="false" customHeight="false" outlineLevel="0" collapsed="false">
      <c r="A15" s="15" t="s">
        <v>235</v>
      </c>
      <c r="E15" s="30" t="s">
        <v>171</v>
      </c>
    </row>
    <row r="16" customFormat="false" ht="13.8" hidden="false" customHeight="false" outlineLevel="0" collapsed="false">
      <c r="A16" s="15" t="s">
        <v>170</v>
      </c>
      <c r="B16" s="28" t="n">
        <v>1.15945235611044</v>
      </c>
      <c r="C16" s="28" t="n">
        <v>1.21547941638434</v>
      </c>
      <c r="D16" s="28" t="n">
        <v>1.22003289395237</v>
      </c>
      <c r="E16" s="30" t="s">
        <v>173</v>
      </c>
      <c r="F16" s="28" t="n">
        <v>0.961298399901119</v>
      </c>
      <c r="G16" s="28" t="n">
        <v>0.939696391318334</v>
      </c>
      <c r="H16" s="28" t="n">
        <v>0.942147908351609</v>
      </c>
      <c r="J16" s="31"/>
      <c r="K16" s="31"/>
      <c r="L16" s="31"/>
    </row>
    <row r="17" customFormat="false" ht="13.8" hidden="false" customHeight="false" outlineLevel="0" collapsed="false">
      <c r="A17" s="15" t="s">
        <v>236</v>
      </c>
      <c r="B17" s="28" t="n">
        <v>1.16914904145225</v>
      </c>
      <c r="C17" s="28" t="n">
        <v>1.20078835095876</v>
      </c>
      <c r="D17" s="28" t="n">
        <v>1.17136849855991</v>
      </c>
      <c r="E17" s="30" t="s">
        <v>174</v>
      </c>
      <c r="F17" s="28" t="n">
        <v>1.03182435694709</v>
      </c>
      <c r="G17" s="28" t="n">
        <v>0.99246530590491</v>
      </c>
      <c r="H17" s="28" t="n">
        <v>1.00447930548479</v>
      </c>
    </row>
    <row r="18" customFormat="false" ht="13.8" hidden="false" customHeight="false" outlineLevel="0" collapsed="false">
      <c r="A18" s="17" t="s">
        <v>237</v>
      </c>
      <c r="E18" s="30" t="s">
        <v>176</v>
      </c>
      <c r="F18" s="28" t="n">
        <v>0.810810805254758</v>
      </c>
      <c r="G18" s="28" t="n">
        <v>0.794722106705143</v>
      </c>
      <c r="H18" s="28" t="n">
        <v>0.837518750261566</v>
      </c>
    </row>
    <row r="19" customFormat="false" ht="13.8" hidden="false" customHeight="false" outlineLevel="0" collapsed="false">
      <c r="A19" s="15" t="s">
        <v>187</v>
      </c>
      <c r="E19" s="30" t="s">
        <v>178</v>
      </c>
      <c r="F19" s="28" t="n">
        <v>0.99973693889136</v>
      </c>
      <c r="G19" s="28" t="n">
        <v>0.94227520050609</v>
      </c>
      <c r="H19" s="28" t="n">
        <v>0.992267909437994</v>
      </c>
    </row>
    <row r="20" customFormat="false" ht="13.8" hidden="false" customHeight="false" outlineLevel="0" collapsed="false">
      <c r="A20" s="15" t="s">
        <v>189</v>
      </c>
      <c r="B20" s="28" t="n">
        <v>1.04323535919115</v>
      </c>
      <c r="C20" s="28" t="n">
        <v>1.12310757538084</v>
      </c>
      <c r="D20" s="28" t="n">
        <v>1.16774140980722</v>
      </c>
      <c r="E20" s="30" t="s">
        <v>180</v>
      </c>
      <c r="F20" s="28" t="n">
        <v>0.820365491731274</v>
      </c>
      <c r="G20" s="28" t="n">
        <v>0.855930838101388</v>
      </c>
      <c r="H20" s="28" t="n">
        <v>0.842943626266758</v>
      </c>
    </row>
    <row r="21" customFormat="false" ht="13.8" hidden="false" customHeight="false" outlineLevel="0" collapsed="false">
      <c r="A21" s="15" t="s">
        <v>191</v>
      </c>
      <c r="B21" s="28" t="n">
        <v>0.972621575888057</v>
      </c>
      <c r="C21" s="28" t="n">
        <v>0.961704928848827</v>
      </c>
      <c r="D21" s="28" t="n">
        <v>0.983837064939496</v>
      </c>
      <c r="E21" s="30" t="s">
        <v>182</v>
      </c>
      <c r="F21" s="28" t="n">
        <v>0.896483152963242</v>
      </c>
      <c r="G21" s="28" t="n">
        <v>0.829570548617373</v>
      </c>
      <c r="H21" s="28" t="n">
        <v>0.85150776621886</v>
      </c>
    </row>
    <row r="22" customFormat="false" ht="13.8" hidden="false" customHeight="false" outlineLevel="0" collapsed="false">
      <c r="A22" s="15" t="s">
        <v>193</v>
      </c>
      <c r="B22" s="28" t="n">
        <v>1.33904971140859</v>
      </c>
      <c r="C22" s="28" t="n">
        <v>1.45225912098095</v>
      </c>
      <c r="D22" s="28" t="n">
        <v>1.59304829047335</v>
      </c>
      <c r="E22" s="30" t="s">
        <v>238</v>
      </c>
      <c r="F22" s="28" t="n">
        <v>1.04840934984663</v>
      </c>
      <c r="G22" s="28" t="n">
        <v>0.963598828094847</v>
      </c>
      <c r="H22" s="28" t="n">
        <v>1.00460975308391</v>
      </c>
    </row>
    <row r="23" customFormat="false" ht="13.8" hidden="false" customHeight="false" outlineLevel="0" collapsed="false">
      <c r="A23" s="15" t="s">
        <v>195</v>
      </c>
      <c r="B23" s="28" t="n">
        <v>1.0613217443188</v>
      </c>
      <c r="C23" s="28" t="n">
        <v>1.04307520213228</v>
      </c>
      <c r="D23" s="28" t="n">
        <v>1.158511964511</v>
      </c>
      <c r="E23" s="27" t="s">
        <v>239</v>
      </c>
    </row>
    <row r="24" customFormat="false" ht="13.8" hidden="false" customHeight="false" outlineLevel="0" collapsed="false">
      <c r="A24" s="15" t="s">
        <v>197</v>
      </c>
      <c r="B24" s="28" t="n">
        <v>1.14195694074147</v>
      </c>
      <c r="C24" s="28" t="n">
        <v>1.15176999491731</v>
      </c>
      <c r="D24" s="28" t="n">
        <v>1.21904570135191</v>
      </c>
      <c r="E24" s="25" t="s">
        <v>240</v>
      </c>
    </row>
    <row r="25" customFormat="false" ht="13.8" hidden="false" customHeight="false" outlineLevel="0" collapsed="false">
      <c r="A25" s="15" t="s">
        <v>198</v>
      </c>
      <c r="B25" s="28" t="n">
        <v>0.978160363024032</v>
      </c>
      <c r="C25" s="28" t="n">
        <v>1.01943543971704</v>
      </c>
      <c r="D25" s="28" t="n">
        <v>1.07734341537957</v>
      </c>
      <c r="E25" s="25" t="s">
        <v>242</v>
      </c>
      <c r="F25" s="28" t="n">
        <v>1.38182712289205</v>
      </c>
      <c r="G25" s="28" t="n">
        <v>1.33007426939454</v>
      </c>
      <c r="H25" s="28" t="n">
        <v>1.32805514064193</v>
      </c>
    </row>
    <row r="26" customFormat="false" ht="13.8" hidden="false" customHeight="false" outlineLevel="0" collapsed="false">
      <c r="A26" s="15" t="s">
        <v>199</v>
      </c>
      <c r="B26" s="28" t="n">
        <v>0.970337489161524</v>
      </c>
      <c r="C26" s="28" t="n">
        <v>0.946583981693276</v>
      </c>
      <c r="D26" s="28" t="n">
        <v>0.965102475951575</v>
      </c>
      <c r="E26" s="25" t="s">
        <v>243</v>
      </c>
      <c r="F26" s="28" t="n">
        <v>3.58142550325431</v>
      </c>
      <c r="G26" s="28" t="n">
        <v>5.27367282279287</v>
      </c>
      <c r="H26" s="28" t="n">
        <v>6.72658250370622</v>
      </c>
    </row>
    <row r="27" customFormat="false" ht="13.8" hidden="false" customHeight="false" outlineLevel="0" collapsed="false">
      <c r="A27" s="15" t="s">
        <v>201</v>
      </c>
      <c r="B27" s="28" t="n">
        <v>1.07284787735956</v>
      </c>
      <c r="C27" s="28" t="n">
        <v>1.0537514929895</v>
      </c>
      <c r="D27" s="28" t="n">
        <v>1.10782315779348</v>
      </c>
      <c r="E27" s="29" t="s">
        <v>135</v>
      </c>
    </row>
    <row r="28" customFormat="false" ht="13.8" hidden="false" customHeight="false" outlineLevel="0" collapsed="false">
      <c r="A28" s="15" t="s">
        <v>203</v>
      </c>
      <c r="B28" s="28" t="n">
        <v>0.955906300417979</v>
      </c>
      <c r="C28" s="28" t="n">
        <v>0.86793108035746</v>
      </c>
      <c r="D28" s="28" t="n">
        <v>0.87674338673594</v>
      </c>
      <c r="E28" s="30" t="s">
        <v>211</v>
      </c>
    </row>
    <row r="29" customFormat="false" ht="13.8" hidden="false" customHeight="false" outlineLevel="0" collapsed="false">
      <c r="A29" s="15" t="s">
        <v>205</v>
      </c>
      <c r="B29" s="28" t="n">
        <v>0.933949090855164</v>
      </c>
      <c r="C29" s="28" t="n">
        <v>0.881734636840079</v>
      </c>
      <c r="D29" s="28" t="n">
        <v>0.8184858945213</v>
      </c>
      <c r="E29" s="30" t="s">
        <v>213</v>
      </c>
      <c r="F29" s="28" t="n">
        <v>0.987438866973756</v>
      </c>
      <c r="G29" s="28" t="n">
        <v>0.978810017509298</v>
      </c>
      <c r="H29" s="28" t="n">
        <v>0.976207919092616</v>
      </c>
    </row>
    <row r="30" customFormat="false" ht="13.8" hidden="false" customHeight="false" outlineLevel="0" collapsed="false">
      <c r="A30" s="15" t="s">
        <v>184</v>
      </c>
      <c r="B30" s="28" t="n">
        <v>1.37685152217598</v>
      </c>
      <c r="C30" s="28" t="n">
        <v>1.60538005605877</v>
      </c>
      <c r="D30" s="28" t="n">
        <v>1.71667493504703</v>
      </c>
      <c r="E30" s="30" t="s">
        <v>215</v>
      </c>
      <c r="F30" s="28" t="n">
        <v>0.849048658028948</v>
      </c>
      <c r="G30" s="28" t="n">
        <v>0.817150689874108</v>
      </c>
      <c r="H30" s="28" t="n">
        <v>0.818129167639259</v>
      </c>
    </row>
    <row r="31" customFormat="false" ht="13.8" hidden="false" customHeight="false" outlineLevel="0" collapsed="false">
      <c r="A31" s="15" t="s">
        <v>208</v>
      </c>
      <c r="B31" s="28" t="n">
        <v>1.12336422799347</v>
      </c>
      <c r="C31" s="28" t="n">
        <v>1.26799718062008</v>
      </c>
      <c r="D31" s="28" t="n">
        <v>1.33056868062554</v>
      </c>
      <c r="E31" s="30" t="s">
        <v>184</v>
      </c>
      <c r="F31" s="28" t="n">
        <v>0.922454446762342</v>
      </c>
      <c r="G31" s="28" t="n">
        <v>0.906677776063759</v>
      </c>
      <c r="H31" s="28" t="n">
        <v>0.949448955320139</v>
      </c>
    </row>
    <row r="32" customFormat="false" ht="13.8" hidden="false" customHeight="false" outlineLevel="0" collapsed="false">
      <c r="A32" s="15" t="s">
        <v>244</v>
      </c>
      <c r="B32" s="28" t="n">
        <v>1.1277178359098</v>
      </c>
      <c r="C32" s="28" t="n">
        <v>1.18575636041814</v>
      </c>
      <c r="D32" s="28" t="n">
        <v>1.23869354495007</v>
      </c>
      <c r="E32" s="29" t="s">
        <v>140</v>
      </c>
    </row>
    <row r="33" customFormat="false" ht="13.8" hidden="false" customHeight="false" outlineLevel="0" collapsed="false">
      <c r="A33" s="17" t="s">
        <v>245</v>
      </c>
      <c r="E33" s="30" t="s">
        <v>246</v>
      </c>
    </row>
    <row r="34" customFormat="false" ht="13.8" hidden="false" customHeight="false" outlineLevel="0" collapsed="false">
      <c r="A34" s="15" t="s">
        <v>30</v>
      </c>
      <c r="B34" s="32"/>
      <c r="C34" s="32"/>
      <c r="D34" s="32"/>
      <c r="E34" s="30" t="s">
        <v>247</v>
      </c>
      <c r="F34" s="28" t="n">
        <v>0.958122888337041</v>
      </c>
      <c r="G34" s="28" t="n">
        <v>0.961061891213345</v>
      </c>
      <c r="H34" s="28" t="n">
        <v>0.976188992783642</v>
      </c>
    </row>
    <row r="35" customFormat="false" ht="13.8" hidden="false" customHeight="false" outlineLevel="0" collapsed="false">
      <c r="A35" s="15" t="s">
        <v>119</v>
      </c>
      <c r="B35" s="28" t="n">
        <v>1.06186496769446</v>
      </c>
      <c r="C35" s="28" t="n">
        <v>1.00684571274669</v>
      </c>
      <c r="D35" s="28" t="n">
        <v>1.00567928621241</v>
      </c>
      <c r="E35" s="30" t="s">
        <v>248</v>
      </c>
      <c r="F35" s="28" t="n">
        <v>0.951969593195773</v>
      </c>
      <c r="G35" s="28" t="n">
        <v>0.906117164983614</v>
      </c>
      <c r="H35" s="28" t="n">
        <v>0.92780183476798</v>
      </c>
    </row>
    <row r="36" customFormat="false" ht="13.8" hidden="false" customHeight="false" outlineLevel="0" collapsed="false">
      <c r="A36" s="0" t="s">
        <v>304</v>
      </c>
      <c r="B36" s="28" t="n">
        <v>0.179</v>
      </c>
      <c r="C36" s="28" t="n">
        <v>0.165</v>
      </c>
      <c r="D36" s="28" t="n">
        <v>0.165</v>
      </c>
      <c r="F36" s="28"/>
      <c r="G36" s="28"/>
      <c r="H36" s="28"/>
    </row>
    <row r="37" customFormat="false" ht="13.8" hidden="false" customHeight="false" outlineLevel="0" collapsed="false">
      <c r="A37" s="0"/>
    </row>
    <row r="38" customFormat="false" ht="13.8" hidden="false" customHeight="false" outlineLevel="0" collapsed="false">
      <c r="A38" s="0"/>
    </row>
    <row r="39" customFormat="false" ht="13.8" hidden="false" customHeight="false" outlineLevel="0" collapsed="false">
      <c r="A39" s="0"/>
      <c r="B39" s="26" t="s">
        <v>302</v>
      </c>
      <c r="C39" s="26"/>
      <c r="D39" s="26"/>
      <c r="F39" s="26" t="s">
        <v>302</v>
      </c>
      <c r="G39" s="26"/>
      <c r="H39" s="26"/>
    </row>
    <row r="40" customFormat="false" ht="13.8" hidden="false" customHeight="false" outlineLevel="0" collapsed="false">
      <c r="A40" s="25"/>
      <c r="B40" s="27" t="s">
        <v>4</v>
      </c>
      <c r="C40" s="27" t="s">
        <v>5</v>
      </c>
      <c r="D40" s="27" t="s">
        <v>6</v>
      </c>
      <c r="E40" s="0"/>
      <c r="F40" s="27" t="s">
        <v>4</v>
      </c>
      <c r="G40" s="27" t="s">
        <v>5</v>
      </c>
      <c r="H40" s="27" t="s">
        <v>6</v>
      </c>
    </row>
    <row r="41" customFormat="false" ht="13.8" hidden="false" customHeight="false" outlineLevel="0" collapsed="false">
      <c r="A41" s="29" t="s">
        <v>249</v>
      </c>
      <c r="E41" s="17" t="s">
        <v>250</v>
      </c>
    </row>
    <row r="42" customFormat="false" ht="13.8" hidden="false" customHeight="false" outlineLevel="0" collapsed="false">
      <c r="A42" s="30" t="s">
        <v>32</v>
      </c>
      <c r="E42" s="0" t="s">
        <v>251</v>
      </c>
    </row>
    <row r="43" customFormat="false" ht="13.8" hidden="false" customHeight="false" outlineLevel="0" collapsed="false">
      <c r="A43" s="30" t="s">
        <v>33</v>
      </c>
      <c r="B43" s="28" t="n">
        <v>1.10616584762771</v>
      </c>
      <c r="C43" s="28" t="n">
        <v>1.13860082221298</v>
      </c>
      <c r="D43" s="28" t="n">
        <v>1.13808897370477</v>
      </c>
      <c r="E43" s="0" t="s">
        <v>252</v>
      </c>
      <c r="F43" s="28" t="n">
        <v>1.64249111031307</v>
      </c>
      <c r="G43" s="28" t="n">
        <v>1.48254611427702</v>
      </c>
      <c r="H43" s="28" t="n">
        <v>1.49753275867944</v>
      </c>
    </row>
    <row r="44" customFormat="false" ht="13.8" hidden="false" customHeight="false" outlineLevel="0" collapsed="false">
      <c r="A44" s="29" t="s">
        <v>103</v>
      </c>
      <c r="E44" s="0" t="s">
        <v>253</v>
      </c>
      <c r="F44" s="28" t="n">
        <v>1.02651530453915</v>
      </c>
      <c r="G44" s="28" t="n">
        <v>0.95807639057249</v>
      </c>
      <c r="H44" s="28" t="n">
        <v>0.903871359671412</v>
      </c>
    </row>
    <row r="45" customFormat="false" ht="13.8" hidden="false" customHeight="false" outlineLevel="0" collapsed="false">
      <c r="A45" s="30" t="s">
        <v>254</v>
      </c>
      <c r="E45" s="0" t="s">
        <v>255</v>
      </c>
      <c r="F45" s="28" t="n">
        <v>1.39871322499981</v>
      </c>
      <c r="G45" s="28" t="n">
        <v>1.07153337765683</v>
      </c>
      <c r="H45" s="28" t="n">
        <v>1.01978563454752</v>
      </c>
    </row>
    <row r="46" customFormat="false" ht="13.8" hidden="false" customHeight="false" outlineLevel="0" collapsed="false">
      <c r="A46" s="30" t="s">
        <v>256</v>
      </c>
      <c r="B46" s="28" t="n">
        <v>1.72777453245086</v>
      </c>
      <c r="C46" s="28" t="n">
        <v>1.98037121119006</v>
      </c>
      <c r="D46" s="28" t="n">
        <v>2.36747298197668</v>
      </c>
      <c r="E46" s="0" t="s">
        <v>257</v>
      </c>
      <c r="F46" s="28" t="n">
        <v>0.685012252131708</v>
      </c>
      <c r="G46" s="28" t="n">
        <v>0.606541035768433</v>
      </c>
      <c r="H46" s="28" t="n">
        <v>0.522197197406854</v>
      </c>
    </row>
    <row r="47" customFormat="false" ht="13.8" hidden="false" customHeight="false" outlineLevel="0" collapsed="false">
      <c r="A47" s="30" t="s">
        <v>258</v>
      </c>
      <c r="B47" s="28" t="n">
        <v>0.947944922260123</v>
      </c>
      <c r="C47" s="28" t="n">
        <v>1.19637664086566</v>
      </c>
      <c r="D47" s="28" t="n">
        <v>1.38184529124351</v>
      </c>
      <c r="E47" s="0" t="s">
        <v>259</v>
      </c>
      <c r="F47" s="28" t="n">
        <v>0.822559692444999</v>
      </c>
      <c r="G47" s="28" t="n">
        <v>0.716248153922301</v>
      </c>
      <c r="H47" s="28" t="n">
        <v>0.635111875461023</v>
      </c>
    </row>
    <row r="48" customFormat="false" ht="13.8" hidden="false" customHeight="false" outlineLevel="0" collapsed="false">
      <c r="A48" s="30" t="s">
        <v>260</v>
      </c>
      <c r="B48" s="28" t="n">
        <v>1.23582710352003</v>
      </c>
      <c r="C48" s="28" t="n">
        <v>1.56141382632839</v>
      </c>
      <c r="D48" s="28" t="n">
        <v>1.81831663965001</v>
      </c>
      <c r="E48" s="0" t="s">
        <v>261</v>
      </c>
      <c r="F48" s="28" t="n">
        <v>0.422670296645598</v>
      </c>
      <c r="G48" s="28" t="n">
        <v>0.368029705300423</v>
      </c>
      <c r="H48" s="28" t="n">
        <v>0.317497489832012</v>
      </c>
    </row>
    <row r="49" customFormat="false" ht="13.8" hidden="false" customHeight="false" outlineLevel="0" collapsed="false">
      <c r="A49" s="30" t="s">
        <v>262</v>
      </c>
      <c r="B49" s="28" t="n">
        <v>0.924523629038958</v>
      </c>
      <c r="C49" s="28" t="n">
        <v>1.00329243336456</v>
      </c>
      <c r="D49" s="28" t="n">
        <v>1.03951473898667</v>
      </c>
      <c r="E49" s="0" t="s">
        <v>263</v>
      </c>
      <c r="F49" s="28" t="n">
        <v>0.747977476354438</v>
      </c>
      <c r="G49" s="28" t="n">
        <v>0.73772776754616</v>
      </c>
      <c r="H49" s="28" t="n">
        <v>0.691223080247219</v>
      </c>
    </row>
    <row r="50" customFormat="false" ht="13.8" hidden="false" customHeight="false" outlineLevel="0" collapsed="false">
      <c r="A50" s="30" t="s">
        <v>264</v>
      </c>
      <c r="B50" s="28" t="n">
        <v>0.681857014585826</v>
      </c>
      <c r="C50" s="28" t="n">
        <v>0.641004916373455</v>
      </c>
      <c r="D50" s="28" t="n">
        <v>0.568302934073276</v>
      </c>
      <c r="E50" s="0" t="s">
        <v>265</v>
      </c>
      <c r="F50" s="28" t="n">
        <v>0.764815738605553</v>
      </c>
      <c r="G50" s="28" t="n">
        <v>0.683778510637408</v>
      </c>
      <c r="H50" s="28" t="n">
        <v>0.562920519034969</v>
      </c>
    </row>
    <row r="51" customFormat="false" ht="13.8" hidden="false" customHeight="false" outlineLevel="0" collapsed="false">
      <c r="A51" s="29" t="s">
        <v>111</v>
      </c>
      <c r="E51" s="0" t="s">
        <v>266</v>
      </c>
      <c r="F51" s="28" t="n">
        <v>0.795702273264285</v>
      </c>
      <c r="G51" s="28" t="n">
        <v>0.715772097715656</v>
      </c>
      <c r="H51" s="28" t="n">
        <v>0.603863250642079</v>
      </c>
    </row>
    <row r="52" customFormat="false" ht="13.8" hidden="false" customHeight="false" outlineLevel="0" collapsed="false">
      <c r="A52" s="30" t="s">
        <v>267</v>
      </c>
      <c r="E52" s="0" t="s">
        <v>268</v>
      </c>
      <c r="F52" s="28" t="n">
        <v>0.623497820793991</v>
      </c>
      <c r="G52" s="28" t="n">
        <v>0.544155398948644</v>
      </c>
      <c r="H52" s="28" t="n">
        <v>0.469568267098767</v>
      </c>
    </row>
    <row r="53" customFormat="false" ht="13.8" hidden="false" customHeight="false" outlineLevel="0" collapsed="false">
      <c r="A53" s="30" t="s">
        <v>269</v>
      </c>
      <c r="B53" s="28" t="n">
        <v>1.3048601212626</v>
      </c>
      <c r="C53" s="28" t="n">
        <v>1.39747714709023</v>
      </c>
      <c r="D53" s="28" t="n">
        <v>1.43015748449417</v>
      </c>
      <c r="E53" s="0" t="s">
        <v>270</v>
      </c>
      <c r="F53" s="28" t="n">
        <v>0.763415758986027</v>
      </c>
      <c r="G53" s="28" t="n">
        <v>0.677960171849697</v>
      </c>
      <c r="H53" s="28" t="n">
        <v>0.591907739638202</v>
      </c>
    </row>
    <row r="54" customFormat="false" ht="13.8" hidden="false" customHeight="false" outlineLevel="0" collapsed="false">
      <c r="A54" s="30" t="s">
        <v>192</v>
      </c>
      <c r="B54" s="28" t="n">
        <v>8.64578707429071</v>
      </c>
      <c r="C54" s="28" t="n">
        <v>9.23973552045725</v>
      </c>
      <c r="D54" s="28" t="n">
        <v>8.73324244939947</v>
      </c>
      <c r="E54" s="0" t="s">
        <v>271</v>
      </c>
      <c r="F54" s="28" t="n">
        <v>1.00092662050901</v>
      </c>
      <c r="G54" s="28" t="n">
        <v>0.887003831906822</v>
      </c>
      <c r="H54" s="28" t="n">
        <v>0.734012071684339</v>
      </c>
    </row>
    <row r="55" customFormat="false" ht="13.8" hidden="false" customHeight="false" outlineLevel="0" collapsed="false">
      <c r="A55" s="30" t="s">
        <v>194</v>
      </c>
      <c r="B55" s="28" t="n">
        <v>0.226201039864652</v>
      </c>
      <c r="C55" s="28" t="n">
        <v>0.198864837799936</v>
      </c>
      <c r="D55" s="28" t="n">
        <v>0.192309242636215</v>
      </c>
      <c r="E55" s="0" t="s">
        <v>272</v>
      </c>
      <c r="F55" s="28" t="n">
        <v>0.779448432541643</v>
      </c>
      <c r="G55" s="28" t="n">
        <v>0.624860822528699</v>
      </c>
      <c r="H55" s="28" t="n">
        <v>0.556440645737153</v>
      </c>
    </row>
    <row r="56" customFormat="false" ht="13.8" hidden="false" customHeight="false" outlineLevel="0" collapsed="false">
      <c r="A56" s="30" t="s">
        <v>196</v>
      </c>
      <c r="B56" s="28" t="n">
        <v>0.558763441591131</v>
      </c>
      <c r="C56" s="28" t="n">
        <v>0.440067394997017</v>
      </c>
      <c r="D56" s="28" t="n">
        <v>0.409188887003629</v>
      </c>
      <c r="E56" s="0" t="s">
        <v>273</v>
      </c>
      <c r="F56" s="28" t="n">
        <v>0.515782036551573</v>
      </c>
      <c r="G56" s="28" t="n">
        <v>0.479618635474101</v>
      </c>
      <c r="H56" s="28" t="n">
        <v>0.407733233489082</v>
      </c>
    </row>
    <row r="57" customFormat="false" ht="13.8" hidden="false" customHeight="false" outlineLevel="0" collapsed="false">
      <c r="A57" s="30" t="s">
        <v>184</v>
      </c>
      <c r="B57" s="28" t="n">
        <v>2.85034676684829</v>
      </c>
      <c r="C57" s="28" t="n">
        <v>5.06133053030808</v>
      </c>
      <c r="D57" s="28" t="n">
        <v>6.01193239062083</v>
      </c>
      <c r="E57" s="0" t="s">
        <v>274</v>
      </c>
      <c r="F57" s="28" t="n">
        <v>0.564624388693562</v>
      </c>
      <c r="G57" s="28" t="n">
        <v>0.48500137046051</v>
      </c>
      <c r="H57" s="28" t="n">
        <v>0.419388409476702</v>
      </c>
    </row>
    <row r="58" customFormat="false" ht="13.8" hidden="false" customHeight="false" outlineLevel="0" collapsed="false">
      <c r="A58" s="29" t="s">
        <v>275</v>
      </c>
      <c r="E58" s="0" t="s">
        <v>276</v>
      </c>
      <c r="F58" s="28" t="n">
        <v>0.583961071948808</v>
      </c>
      <c r="G58" s="28" t="n">
        <v>0.55979351708087</v>
      </c>
      <c r="H58" s="28" t="n">
        <v>0.513961925585364</v>
      </c>
    </row>
    <row r="59" customFormat="false" ht="13.8" hidden="false" customHeight="false" outlineLevel="0" collapsed="false">
      <c r="A59" s="30" t="s">
        <v>154</v>
      </c>
      <c r="E59" s="0" t="s">
        <v>277</v>
      </c>
      <c r="F59" s="28" t="n">
        <v>0.431488327070325</v>
      </c>
      <c r="G59" s="28" t="n">
        <v>0.378404128553469</v>
      </c>
      <c r="H59" s="28" t="n">
        <v>0.340108214305201</v>
      </c>
    </row>
    <row r="60" customFormat="false" ht="13.8" hidden="false" customHeight="false" outlineLevel="0" collapsed="false">
      <c r="A60" s="30" t="s">
        <v>278</v>
      </c>
      <c r="B60" s="28" t="n">
        <v>0.989683528194784</v>
      </c>
      <c r="C60" s="28" t="n">
        <v>0.987191739793497</v>
      </c>
      <c r="D60" s="28" t="n">
        <v>1.00356263147953</v>
      </c>
      <c r="E60" s="0" t="s">
        <v>279</v>
      </c>
      <c r="F60" s="28" t="n">
        <v>0.571457679665361</v>
      </c>
      <c r="G60" s="28" t="n">
        <v>0.506939825440575</v>
      </c>
      <c r="H60" s="28" t="n">
        <v>0.442823050017147</v>
      </c>
    </row>
    <row r="61" customFormat="false" ht="13.8" hidden="false" customHeight="false" outlineLevel="0" collapsed="false">
      <c r="A61" s="30" t="s">
        <v>280</v>
      </c>
      <c r="B61" s="28" t="n">
        <v>1.11981112944261</v>
      </c>
      <c r="C61" s="28" t="n">
        <v>1.18140251752506</v>
      </c>
      <c r="D61" s="28" t="n">
        <v>1.19038727063426</v>
      </c>
      <c r="E61" s="0" t="s">
        <v>281</v>
      </c>
      <c r="F61" s="28" t="n">
        <v>0.672207066354776</v>
      </c>
      <c r="G61" s="28" t="n">
        <v>0.581949214824187</v>
      </c>
      <c r="H61" s="28" t="n">
        <v>0.487096438312827</v>
      </c>
    </row>
    <row r="62" customFormat="false" ht="13.8" hidden="false" customHeight="false" outlineLevel="0" collapsed="false">
      <c r="A62" s="30" t="s">
        <v>282</v>
      </c>
      <c r="B62" s="28" t="n">
        <v>1.12181485822486</v>
      </c>
      <c r="C62" s="28" t="n">
        <v>1.15099228265077</v>
      </c>
      <c r="D62" s="28" t="n">
        <v>1.11796032778302</v>
      </c>
      <c r="E62" s="17" t="s">
        <v>283</v>
      </c>
    </row>
    <row r="63" customFormat="false" ht="13.8" hidden="false" customHeight="false" outlineLevel="0" collapsed="false">
      <c r="A63" s="30" t="s">
        <v>162</v>
      </c>
      <c r="B63" s="28" t="n">
        <v>1.04427834890239</v>
      </c>
      <c r="C63" s="28" t="n">
        <v>1.06701643069984</v>
      </c>
      <c r="D63" s="28" t="n">
        <v>0.969636888826421</v>
      </c>
      <c r="E63" s="15" t="s">
        <v>271</v>
      </c>
    </row>
    <row r="64" customFormat="false" ht="13.8" hidden="false" customHeight="false" outlineLevel="0" collapsed="false">
      <c r="A64" s="30" t="s">
        <v>284</v>
      </c>
      <c r="B64" s="28" t="n">
        <v>1.02125915580953</v>
      </c>
      <c r="C64" s="28" t="n">
        <v>1.101676500869</v>
      </c>
      <c r="D64" s="28" t="n">
        <v>0.996274229855951</v>
      </c>
      <c r="E64" s="15" t="s">
        <v>285</v>
      </c>
      <c r="F64" s="28" t="n">
        <v>0.864650023749452</v>
      </c>
      <c r="G64" s="28" t="n">
        <v>0.831043513372468</v>
      </c>
      <c r="H64" s="28" t="n">
        <v>0.811362627286112</v>
      </c>
    </row>
    <row r="65" customFormat="false" ht="13.8" hidden="false" customHeight="false" outlineLevel="0" collapsed="false">
      <c r="A65" s="29" t="s">
        <v>145</v>
      </c>
      <c r="E65" s="15" t="s">
        <v>286</v>
      </c>
      <c r="F65" s="28" t="n">
        <v>1.09598536752473</v>
      </c>
      <c r="G65" s="28" t="n">
        <v>1.06459803577997</v>
      </c>
      <c r="H65" s="28" t="n">
        <v>1.06782910166239</v>
      </c>
    </row>
    <row r="66" customFormat="false" ht="13.8" hidden="false" customHeight="false" outlineLevel="0" collapsed="false">
      <c r="A66" s="30" t="s">
        <v>200</v>
      </c>
      <c r="E66" s="15" t="s">
        <v>287</v>
      </c>
      <c r="F66" s="28" t="n">
        <v>0.940218908439757</v>
      </c>
      <c r="G66" s="28" t="n">
        <v>0.935312666415763</v>
      </c>
      <c r="H66" s="28" t="n">
        <v>0.990470681884403</v>
      </c>
    </row>
    <row r="67" customFormat="false" ht="13.8" hidden="false" customHeight="false" outlineLevel="0" collapsed="false">
      <c r="A67" s="30" t="s">
        <v>202</v>
      </c>
      <c r="B67" s="28" t="n">
        <v>0.444568794516333</v>
      </c>
      <c r="C67" s="28" t="n">
        <v>0.457906074389224</v>
      </c>
      <c r="D67" s="28" t="n">
        <v>0.525987276638901</v>
      </c>
      <c r="E67" s="15" t="s">
        <v>288</v>
      </c>
      <c r="F67" s="28" t="n">
        <v>0.875966272992732</v>
      </c>
      <c r="G67" s="28" t="n">
        <v>0.863045514529498</v>
      </c>
      <c r="H67" s="28" t="n">
        <v>0.909432938753072</v>
      </c>
    </row>
    <row r="68" customFormat="false" ht="13.8" hidden="false" customHeight="false" outlineLevel="0" collapsed="false">
      <c r="A68" s="30" t="s">
        <v>204</v>
      </c>
      <c r="B68" s="28" t="n">
        <v>0.521322837132532</v>
      </c>
      <c r="C68" s="28" t="n">
        <v>0.722772313547887</v>
      </c>
      <c r="D68" s="28" t="n">
        <v>0.841038140145737</v>
      </c>
      <c r="E68" s="15" t="s">
        <v>289</v>
      </c>
      <c r="F68" s="28" t="n">
        <v>0.979207815203532</v>
      </c>
      <c r="G68" s="28" t="n">
        <v>0.961044274568073</v>
      </c>
      <c r="H68" s="28" t="n">
        <v>1.02459331844471</v>
      </c>
    </row>
    <row r="69" customFormat="false" ht="13.8" hidden="false" customHeight="false" outlineLevel="0" collapsed="false">
      <c r="A69" s="30" t="s">
        <v>206</v>
      </c>
      <c r="B69" s="28" t="n">
        <v>0.49675912706357</v>
      </c>
      <c r="C69" s="28" t="n">
        <v>0.699736532792187</v>
      </c>
      <c r="D69" s="28" t="n">
        <v>0.809447728457983</v>
      </c>
      <c r="E69" s="15" t="s">
        <v>290</v>
      </c>
      <c r="F69" s="28" t="n">
        <v>0.753035784020067</v>
      </c>
      <c r="G69" s="28" t="n">
        <v>0.695690222750748</v>
      </c>
      <c r="H69" s="28" t="n">
        <v>0.721382802325694</v>
      </c>
    </row>
    <row r="70" customFormat="false" ht="13.8" hidden="false" customHeight="false" outlineLevel="0" collapsed="false">
      <c r="A70" s="30" t="s">
        <v>207</v>
      </c>
      <c r="B70" s="28" t="n">
        <v>0.72048704955276</v>
      </c>
      <c r="C70" s="28" t="n">
        <v>1.00361541226968</v>
      </c>
      <c r="D70" s="28" t="n">
        <v>1.12308781258259</v>
      </c>
      <c r="E70" s="15" t="s">
        <v>291</v>
      </c>
      <c r="F70" s="28" t="n">
        <v>1.16007580708956</v>
      </c>
      <c r="G70" s="28" t="n">
        <v>1.08774453455039</v>
      </c>
      <c r="H70" s="28" t="n">
        <v>1.18438151448971</v>
      </c>
    </row>
    <row r="71" customFormat="false" ht="13.8" hidden="false" customHeight="false" outlineLevel="0" collapsed="false">
      <c r="A71" s="27" t="s">
        <v>292</v>
      </c>
      <c r="E71" s="15" t="s">
        <v>293</v>
      </c>
      <c r="F71" s="28" t="n">
        <v>1.38845964962982</v>
      </c>
      <c r="G71" s="28" t="n">
        <v>1.42885797132279</v>
      </c>
      <c r="H71" s="28" t="n">
        <v>1.60125984490778</v>
      </c>
    </row>
    <row r="72" customFormat="false" ht="13.8" hidden="false" customHeight="false" outlineLevel="0" collapsed="false">
      <c r="A72" s="33" t="s">
        <v>294</v>
      </c>
      <c r="B72" s="28" t="n">
        <v>0.996750564077334</v>
      </c>
      <c r="C72" s="28" t="n">
        <v>0.996849611977347</v>
      </c>
      <c r="D72" s="28" t="n">
        <v>0.996886081523194</v>
      </c>
      <c r="E72" s="15" t="s">
        <v>295</v>
      </c>
      <c r="F72" s="28" t="n">
        <v>0.877899817682992</v>
      </c>
      <c r="G72" s="28" t="n">
        <v>0.849503292997997</v>
      </c>
      <c r="H72" s="28" t="n">
        <v>0.934786587909658</v>
      </c>
    </row>
    <row r="73" customFormat="false" ht="13.8" hidden="false" customHeight="false" outlineLevel="0" collapsed="false">
      <c r="A73" s="30" t="s">
        <v>296</v>
      </c>
      <c r="B73" s="28" t="n">
        <v>0.957591700519262</v>
      </c>
      <c r="C73" s="28" t="n">
        <v>0.948810008989731</v>
      </c>
      <c r="D73" s="28" t="n">
        <v>0.951022622601601</v>
      </c>
      <c r="E73" s="0"/>
      <c r="F73" s="0"/>
      <c r="G73" s="0"/>
      <c r="H73" s="0"/>
    </row>
    <row r="74" customFormat="false" ht="13.8" hidden="false" customHeight="false" outlineLevel="0" collapsed="false">
      <c r="A74" s="0"/>
    </row>
    <row r="75" customFormat="false" ht="13.8" hidden="false" customHeight="false" outlineLevel="0" collapsed="false">
      <c r="A75" s="0"/>
    </row>
    <row r="76" customFormat="false" ht="13.8" hidden="false" customHeight="false" outlineLevel="0" collapsed="false">
      <c r="A76" s="0"/>
    </row>
    <row r="77" customFormat="false" ht="13.8" hidden="false" customHeight="false" outlineLevel="0" collapsed="false">
      <c r="A77" s="0"/>
    </row>
    <row r="78" customFormat="false" ht="13.8" hidden="false" customHeight="false" outlineLevel="0" collapsed="false">
      <c r="A78" s="0"/>
    </row>
    <row r="79" customFormat="false" ht="13.8" hidden="false" customHeight="false" outlineLevel="0" collapsed="false">
      <c r="A79" s="0"/>
    </row>
    <row r="80" customFormat="false" ht="13.8" hidden="false" customHeight="false" outlineLevel="0" collapsed="false">
      <c r="A80" s="0"/>
    </row>
    <row r="81" customFormat="false" ht="13.8" hidden="false" customHeight="false" outlineLevel="0" collapsed="false">
      <c r="A81" s="0" t="s">
        <v>297</v>
      </c>
    </row>
    <row r="82" customFormat="false" ht="13.8" hidden="false" customHeight="false" outlineLevel="0" collapsed="false">
      <c r="A82" s="0" t="s">
        <v>252</v>
      </c>
    </row>
    <row r="83" customFormat="false" ht="13.8" hidden="false" customHeight="false" outlineLevel="0" collapsed="false">
      <c r="A83" s="0" t="s">
        <v>253</v>
      </c>
    </row>
    <row r="84" customFormat="false" ht="13.8" hidden="false" customHeight="false" outlineLevel="0" collapsed="false">
      <c r="A84" s="0" t="s">
        <v>255</v>
      </c>
    </row>
    <row r="85" customFormat="false" ht="13.8" hidden="false" customHeight="false" outlineLevel="0" collapsed="false">
      <c r="A85" s="0" t="s">
        <v>257</v>
      </c>
    </row>
    <row r="86" customFormat="false" ht="13.8" hidden="false" customHeight="false" outlineLevel="0" collapsed="false">
      <c r="A86" s="0" t="s">
        <v>259</v>
      </c>
    </row>
    <row r="87" customFormat="false" ht="13.8" hidden="false" customHeight="false" outlineLevel="0" collapsed="false">
      <c r="A87" s="0" t="s">
        <v>261</v>
      </c>
    </row>
    <row r="88" customFormat="false" ht="13.8" hidden="false" customHeight="false" outlineLevel="0" collapsed="false">
      <c r="A88" s="0" t="s">
        <v>298</v>
      </c>
    </row>
    <row r="89" customFormat="false" ht="13.8" hidden="false" customHeight="false" outlineLevel="0" collapsed="false">
      <c r="A89" s="0" t="s">
        <v>265</v>
      </c>
    </row>
    <row r="90" customFormat="false" ht="13.8" hidden="false" customHeight="false" outlineLevel="0" collapsed="false">
      <c r="A90" s="0" t="s">
        <v>266</v>
      </c>
    </row>
    <row r="91" customFormat="false" ht="13.8" hidden="false" customHeight="false" outlineLevel="0" collapsed="false">
      <c r="A91" s="0" t="s">
        <v>268</v>
      </c>
    </row>
    <row r="92" customFormat="false" ht="13.8" hidden="false" customHeight="false" outlineLevel="0" collapsed="false">
      <c r="A92" s="0" t="s">
        <v>299</v>
      </c>
    </row>
    <row r="93" customFormat="false" ht="13.8" hidden="false" customHeight="false" outlineLevel="0" collapsed="false">
      <c r="A93" s="0" t="s">
        <v>271</v>
      </c>
    </row>
    <row r="94" customFormat="false" ht="13.8" hidden="false" customHeight="false" outlineLevel="0" collapsed="false">
      <c r="A94" s="0" t="s">
        <v>272</v>
      </c>
    </row>
    <row r="95" customFormat="false" ht="13.8" hidden="false" customHeight="false" outlineLevel="0" collapsed="false">
      <c r="A95" s="0" t="s">
        <v>273</v>
      </c>
    </row>
    <row r="96" customFormat="false" ht="13.8" hidden="false" customHeight="false" outlineLevel="0" collapsed="false">
      <c r="A96" s="0" t="s">
        <v>300</v>
      </c>
    </row>
    <row r="97" customFormat="false" ht="13.8" hidden="false" customHeight="false" outlineLevel="0" collapsed="false">
      <c r="A97" s="0" t="s">
        <v>301</v>
      </c>
    </row>
    <row r="98" customFormat="false" ht="13.8" hidden="false" customHeight="false" outlineLevel="0" collapsed="false">
      <c r="A98" s="0" t="s">
        <v>277</v>
      </c>
    </row>
    <row r="99" customFormat="false" ht="13.8" hidden="false" customHeight="false" outlineLevel="0" collapsed="false">
      <c r="A99" s="0" t="s">
        <v>279</v>
      </c>
    </row>
    <row r="100" customFormat="false" ht="13.8" hidden="false" customHeight="false" outlineLevel="0" collapsed="false">
      <c r="A100" s="0" t="s">
        <v>281</v>
      </c>
    </row>
    <row r="101" customFormat="false" ht="13.8" hidden="false" customHeight="false" outlineLevel="0" collapsed="false">
      <c r="A101" s="0"/>
    </row>
    <row r="102" customFormat="false" ht="13.8" hidden="false" customHeight="false" outlineLevel="0" collapsed="false">
      <c r="A102" s="0"/>
    </row>
    <row r="103" customFormat="false" ht="13.8" hidden="false" customHeight="false" outlineLevel="0" collapsed="false">
      <c r="A103" s="0"/>
    </row>
    <row r="104" customFormat="false" ht="13.8" hidden="false" customHeight="false" outlineLevel="0" collapsed="false">
      <c r="A104" s="0"/>
    </row>
    <row r="105" customFormat="false" ht="13.8" hidden="false" customHeight="false" outlineLevel="0" collapsed="false">
      <c r="A105" s="0"/>
    </row>
    <row r="106" customFormat="false" ht="13.8" hidden="false" customHeight="false" outlineLevel="0" collapsed="false">
      <c r="A106" s="0"/>
    </row>
    <row r="107" customFormat="false" ht="13.8" hidden="false" customHeight="false" outlineLevel="0" collapsed="false">
      <c r="A107" s="0"/>
    </row>
    <row r="108" customFormat="false" ht="13.8" hidden="false" customHeight="false" outlineLevel="0" collapsed="false">
      <c r="A108" s="0"/>
    </row>
    <row r="109" customFormat="false" ht="13.8" hidden="false" customHeight="false" outlineLevel="0" collapsed="false">
      <c r="A109" s="0"/>
    </row>
    <row r="110" customFormat="false" ht="13.8" hidden="false" customHeight="false" outlineLevel="0" collapsed="false">
      <c r="A110" s="0"/>
    </row>
    <row r="111" customFormat="false" ht="13.8" hidden="false" customHeight="false" outlineLevel="0" collapsed="false">
      <c r="A111" s="0"/>
    </row>
    <row r="112" customFormat="false" ht="13.8" hidden="false" customHeight="false" outlineLevel="0" collapsed="false">
      <c r="A112" s="0"/>
    </row>
    <row r="113" customFormat="false" ht="13.8" hidden="false" customHeight="false" outlineLevel="0" collapsed="false">
      <c r="A113" s="0"/>
    </row>
    <row r="114" customFormat="false" ht="13.8" hidden="false" customHeight="false" outlineLevel="0" collapsed="false">
      <c r="A114" s="0"/>
    </row>
    <row r="115" customFormat="false" ht="13.8" hidden="false" customHeight="false" outlineLevel="0" collapsed="false">
      <c r="A115" s="0"/>
    </row>
    <row r="116" customFormat="false" ht="13.8" hidden="false" customHeight="false" outlineLevel="0" collapsed="false">
      <c r="A116" s="0"/>
    </row>
    <row r="117" customFormat="false" ht="13.8" hidden="false" customHeight="false" outlineLevel="0" collapsed="false">
      <c r="A117" s="0"/>
    </row>
    <row r="118" customFormat="false" ht="13.8" hidden="false" customHeight="false" outlineLevel="0" collapsed="false">
      <c r="A118" s="0"/>
    </row>
    <row r="119" customFormat="false" ht="13.8" hidden="false" customHeight="false" outlineLevel="0" collapsed="false">
      <c r="A119" s="0"/>
    </row>
    <row r="120" customFormat="false" ht="13.8" hidden="false" customHeight="false" outlineLevel="0" collapsed="false">
      <c r="A120" s="0"/>
    </row>
    <row r="121" customFormat="false" ht="13.8" hidden="false" customHeight="false" outlineLevel="0" collapsed="false">
      <c r="A121" s="0"/>
    </row>
    <row r="122" customFormat="false" ht="13.8" hidden="false" customHeight="false" outlineLevel="0" collapsed="false">
      <c r="A122" s="0"/>
    </row>
    <row r="123" customFormat="false" ht="13.8" hidden="false" customHeight="false" outlineLevel="0" collapsed="false">
      <c r="A123" s="0"/>
    </row>
    <row r="124" customFormat="false" ht="13.8" hidden="false" customHeight="false" outlineLevel="0" collapsed="false">
      <c r="A124" s="0"/>
    </row>
    <row r="125" customFormat="false" ht="13.8" hidden="false" customHeight="false" outlineLevel="0" collapsed="false">
      <c r="A125" s="0"/>
    </row>
    <row r="126" customFormat="false" ht="13.8" hidden="false" customHeight="false" outlineLevel="0" collapsed="false">
      <c r="A126" s="0"/>
    </row>
    <row r="127" customFormat="false" ht="13.8" hidden="false" customHeight="false" outlineLevel="0" collapsed="false">
      <c r="A127" s="0"/>
    </row>
    <row r="128" customFormat="false" ht="13.8" hidden="false" customHeight="false" outlineLevel="0" collapsed="false">
      <c r="A128" s="0"/>
    </row>
    <row r="130" customFormat="false" ht="13.8" hidden="false" customHeight="false" outlineLevel="0" collapsed="false">
      <c r="A130" s="0"/>
    </row>
    <row r="131" customFormat="false" ht="13.8" hidden="false" customHeight="false" outlineLevel="0" collapsed="false">
      <c r="A131" s="0"/>
    </row>
  </sheetData>
  <mergeCells count="4">
    <mergeCell ref="B1:D1"/>
    <mergeCell ref="F1:H1"/>
    <mergeCell ref="B39:D39"/>
    <mergeCell ref="F39:H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"/>
  <sheetViews>
    <sheetView showFormulas="false" showGridLines="true" showRowColHeaders="true" showZeros="true" rightToLeft="false" tabSelected="false" showOutlineSymbols="true" defaultGridColor="true" view="normal" topLeftCell="A43" colorId="64" zoomScale="95" zoomScaleNormal="95" zoomScalePageLayoutView="100" workbookViewId="0">
      <selection pane="topLeft" activeCell="B31" activeCellId="0" sqref="B3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2.14"/>
    <col collapsed="false" customWidth="true" hidden="false" outlineLevel="0" max="2" min="2" style="0" width="8"/>
    <col collapsed="false" customWidth="true" hidden="false" outlineLevel="0" max="6" min="3" style="34" width="9.14"/>
    <col collapsed="false" customWidth="true" hidden="false" outlineLevel="0" max="7" min="7" style="34" width="27.64"/>
    <col collapsed="false" customWidth="true" hidden="false" outlineLevel="0" max="11" min="8" style="34" width="9.14"/>
    <col collapsed="false" customWidth="true" hidden="false" outlineLevel="0" max="12" min="12" style="34" width="28.51"/>
    <col collapsed="false" customWidth="true" hidden="false" outlineLevel="0" max="16" min="13" style="34" width="9.14"/>
  </cols>
  <sheetData>
    <row r="1" customFormat="false" ht="13.8" hidden="false" customHeight="false" outlineLevel="0" collapsed="false">
      <c r="A1" s="35" t="s">
        <v>305</v>
      </c>
    </row>
    <row r="2" customFormat="false" ht="13.8" hidden="false" customHeight="false" outlineLevel="0" collapsed="false">
      <c r="A2" s="0" t="s">
        <v>306</v>
      </c>
    </row>
    <row r="3" s="35" customFormat="true" ht="13.8" hidden="false" customHeight="false" outlineLevel="0" collapsed="false">
      <c r="C3" s="36" t="s">
        <v>307</v>
      </c>
      <c r="D3" s="36"/>
      <c r="E3" s="36"/>
      <c r="F3" s="36"/>
      <c r="G3" s="37"/>
      <c r="H3" s="36" t="s">
        <v>308</v>
      </c>
      <c r="I3" s="36"/>
      <c r="J3" s="36"/>
      <c r="K3" s="36"/>
      <c r="L3" s="37"/>
      <c r="M3" s="36" t="s">
        <v>309</v>
      </c>
      <c r="N3" s="36"/>
      <c r="O3" s="36"/>
      <c r="P3" s="36"/>
    </row>
    <row r="4" customFormat="false" ht="13.8" hidden="false" customHeight="false" outlineLevel="0" collapsed="false">
      <c r="C4" s="34" t="s">
        <v>310</v>
      </c>
      <c r="D4" s="34" t="n">
        <v>0.179</v>
      </c>
      <c r="H4" s="34" t="s">
        <v>310</v>
      </c>
      <c r="I4" s="34" t="n">
        <v>0.165</v>
      </c>
      <c r="M4" s="34" t="s">
        <v>310</v>
      </c>
      <c r="N4" s="34" t="n">
        <v>0.165</v>
      </c>
    </row>
    <row r="5" s="35" customFormat="true" ht="13.8" hidden="false" customHeight="false" outlineLevel="0" collapsed="false">
      <c r="A5" s="35" t="s">
        <v>311</v>
      </c>
      <c r="C5" s="37" t="s">
        <v>312</v>
      </c>
      <c r="D5" s="37" t="s">
        <v>313</v>
      </c>
      <c r="E5" s="37" t="s">
        <v>314</v>
      </c>
      <c r="F5" s="37" t="s">
        <v>315</v>
      </c>
      <c r="G5" s="35" t="s">
        <v>311</v>
      </c>
      <c r="H5" s="37" t="s">
        <v>312</v>
      </c>
      <c r="I5" s="37" t="s">
        <v>313</v>
      </c>
      <c r="J5" s="37" t="s">
        <v>314</v>
      </c>
      <c r="K5" s="37" t="s">
        <v>315</v>
      </c>
      <c r="L5" s="35" t="s">
        <v>311</v>
      </c>
      <c r="M5" s="37" t="s">
        <v>312</v>
      </c>
      <c r="N5" s="37" t="s">
        <v>313</v>
      </c>
      <c r="O5" s="37" t="s">
        <v>314</v>
      </c>
      <c r="P5" s="37" t="s">
        <v>315</v>
      </c>
    </row>
    <row r="6" customFormat="false" ht="13.8" hidden="false" customHeight="false" outlineLevel="0" collapsed="false">
      <c r="A6" s="0" t="s">
        <v>316</v>
      </c>
      <c r="C6" s="34" t="n">
        <v>-2.42212448316635</v>
      </c>
      <c r="D6" s="34" t="n">
        <v>0.0177894886640323</v>
      </c>
      <c r="E6" s="34" t="n">
        <v>-136.154811917867</v>
      </c>
      <c r="F6" s="34" t="n">
        <v>0</v>
      </c>
      <c r="G6" s="0" t="s">
        <v>316</v>
      </c>
      <c r="H6" s="34" t="n">
        <v>-3.61611234033095</v>
      </c>
      <c r="I6" s="34" t="n">
        <v>0.0264431765310364</v>
      </c>
      <c r="J6" s="34" t="n">
        <v>-136.750300633765</v>
      </c>
      <c r="K6" s="34" t="n">
        <v>0</v>
      </c>
      <c r="L6" s="0" t="s">
        <v>316</v>
      </c>
      <c r="M6" s="34" t="n">
        <v>-4.09800461240469</v>
      </c>
      <c r="N6" s="34" t="n">
        <v>0.0298651034708894</v>
      </c>
      <c r="O6" s="34" t="n">
        <v>-137.217157690385</v>
      </c>
      <c r="P6" s="34" t="n">
        <v>0</v>
      </c>
    </row>
    <row r="7" customFormat="false" ht="13.8" hidden="false" customHeight="false" outlineLevel="0" collapsed="false">
      <c r="A7" s="0" t="s">
        <v>317</v>
      </c>
      <c r="C7" s="34" t="n">
        <v>0.338154232469346</v>
      </c>
      <c r="D7" s="34" t="n">
        <v>0.00420451488714279</v>
      </c>
      <c r="E7" s="34" t="n">
        <v>80.4264562133923</v>
      </c>
      <c r="F7" s="34" t="n">
        <v>0</v>
      </c>
      <c r="G7" s="0" t="s">
        <v>317</v>
      </c>
      <c r="H7" s="34" t="n">
        <v>0.341164674863386</v>
      </c>
      <c r="I7" s="34" t="n">
        <v>0.00653714878287425</v>
      </c>
      <c r="J7" s="34" t="n">
        <v>52.1886048788051</v>
      </c>
      <c r="K7" s="34" t="n">
        <v>0</v>
      </c>
      <c r="L7" s="0" t="s">
        <v>317</v>
      </c>
      <c r="M7" s="34" t="n">
        <v>0.380131683930084</v>
      </c>
      <c r="N7" s="34" t="n">
        <v>0.00771528307313102</v>
      </c>
      <c r="O7" s="34" t="n">
        <v>49.2699594204025</v>
      </c>
      <c r="P7" s="34" t="n">
        <v>0</v>
      </c>
    </row>
    <row r="8" customFormat="false" ht="13.8" hidden="false" customHeight="false" outlineLevel="0" collapsed="false">
      <c r="A8" s="0" t="s">
        <v>318</v>
      </c>
      <c r="C8" s="34" t="n">
        <v>0.357443720932336</v>
      </c>
      <c r="D8" s="34" t="n">
        <v>0.00730921585117475</v>
      </c>
      <c r="E8" s="34" t="n">
        <v>48.9031557160658</v>
      </c>
      <c r="F8" s="34" t="n">
        <v>0</v>
      </c>
      <c r="G8" s="0" t="s">
        <v>318</v>
      </c>
      <c r="H8" s="34" t="n">
        <v>0.357989399339428</v>
      </c>
      <c r="I8" s="34" t="n">
        <v>0.0115270612959813</v>
      </c>
      <c r="J8" s="34" t="n">
        <v>31.0564323505621</v>
      </c>
      <c r="K8" s="34" t="n">
        <v>9.34099811289625E-212</v>
      </c>
      <c r="L8" s="0" t="s">
        <v>318</v>
      </c>
      <c r="M8" s="34" t="n">
        <v>0.373259786778159</v>
      </c>
      <c r="N8" s="34" t="n">
        <v>0.0133537476126588</v>
      </c>
      <c r="O8" s="34" t="n">
        <v>27.9516879908921</v>
      </c>
      <c r="P8" s="34" t="n">
        <v>6.28810924085479E-172</v>
      </c>
    </row>
    <row r="9" customFormat="false" ht="13.8" hidden="false" customHeight="false" outlineLevel="0" collapsed="false">
      <c r="A9" s="0" t="s">
        <v>319</v>
      </c>
      <c r="C9" s="34" t="n">
        <v>0.405453173071261</v>
      </c>
      <c r="D9" s="34" t="n">
        <v>0.00818869831746589</v>
      </c>
      <c r="E9" s="34" t="n">
        <v>49.5137514354948</v>
      </c>
      <c r="F9" s="34" t="n">
        <v>0</v>
      </c>
      <c r="G9" s="0" t="s">
        <v>319</v>
      </c>
      <c r="H9" s="34" t="n">
        <v>0.402176802386623</v>
      </c>
      <c r="I9" s="34" t="n">
        <v>0.0129085161941654</v>
      </c>
      <c r="J9" s="34" t="n">
        <v>31.1559280971741</v>
      </c>
      <c r="K9" s="34" t="n">
        <v>4.21594416912941E-213</v>
      </c>
      <c r="L9" s="0" t="s">
        <v>319</v>
      </c>
      <c r="M9" s="34" t="n">
        <v>0.425370809025009</v>
      </c>
      <c r="N9" s="34" t="n">
        <v>0.014994776526877</v>
      </c>
      <c r="O9" s="34" t="n">
        <v>28.3679325438804</v>
      </c>
      <c r="P9" s="34" t="n">
        <v>5.03026933152234E-177</v>
      </c>
    </row>
    <row r="10" customFormat="false" ht="13.8" hidden="false" customHeight="false" outlineLevel="0" collapsed="false">
      <c r="A10" s="0" t="s">
        <v>320</v>
      </c>
      <c r="C10" s="34" t="n">
        <v>0.371292877379002</v>
      </c>
      <c r="D10" s="34" t="n">
        <v>0.00828566621124576</v>
      </c>
      <c r="E10" s="34" t="n">
        <v>44.8114693390693</v>
      </c>
      <c r="F10" s="34" t="n">
        <v>0</v>
      </c>
      <c r="G10" s="0" t="s">
        <v>320</v>
      </c>
      <c r="H10" s="34" t="n">
        <v>0.427596609668424</v>
      </c>
      <c r="I10" s="34" t="n">
        <v>0.0130297360376778</v>
      </c>
      <c r="J10" s="34" t="n">
        <v>32.8169817432948</v>
      </c>
      <c r="K10" s="34" t="n">
        <v>3.37121329498047E-236</v>
      </c>
      <c r="L10" s="0" t="s">
        <v>320</v>
      </c>
      <c r="M10" s="34" t="n">
        <v>0.499302078012823</v>
      </c>
      <c r="N10" s="34" t="n">
        <v>0.0150910056789377</v>
      </c>
      <c r="O10" s="34" t="n">
        <v>33.0860705134907</v>
      </c>
      <c r="P10" s="34" t="n">
        <v>4.71418555047718E-240</v>
      </c>
    </row>
    <row r="11" customFormat="false" ht="13.8" hidden="false" customHeight="false" outlineLevel="0" collapsed="false">
      <c r="A11" s="0" t="s">
        <v>321</v>
      </c>
      <c r="C11" s="34" t="n">
        <v>0.319105173339131</v>
      </c>
      <c r="D11" s="34" t="n">
        <v>0.00870005420086842</v>
      </c>
      <c r="E11" s="34" t="n">
        <v>36.6785270495531</v>
      </c>
      <c r="F11" s="34" t="n">
        <v>1.60659862831006E-294</v>
      </c>
      <c r="G11" s="0" t="s">
        <v>321</v>
      </c>
      <c r="H11" s="34" t="n">
        <v>0.416353132621055</v>
      </c>
      <c r="I11" s="34" t="n">
        <v>0.0136154942329595</v>
      </c>
      <c r="J11" s="34" t="n">
        <v>30.5793624158846</v>
      </c>
      <c r="K11" s="34" t="n">
        <v>2.30264374313199E-205</v>
      </c>
      <c r="L11" s="0" t="s">
        <v>321</v>
      </c>
      <c r="M11" s="34" t="n">
        <v>0.505802585857333</v>
      </c>
      <c r="N11" s="34" t="n">
        <v>0.015757477887681</v>
      </c>
      <c r="O11" s="34" t="n">
        <v>32.09920962369</v>
      </c>
      <c r="P11" s="34" t="n">
        <v>4.5222553112803E-226</v>
      </c>
    </row>
    <row r="12" customFormat="false" ht="13.8" hidden="false" customHeight="false" outlineLevel="0" collapsed="false">
      <c r="A12" s="0" t="s">
        <v>322</v>
      </c>
      <c r="C12" s="34" t="n">
        <v>0.180107447775796</v>
      </c>
      <c r="D12" s="34" t="n">
        <v>0.0114715448342169</v>
      </c>
      <c r="E12" s="34" t="n">
        <v>15.7003655896962</v>
      </c>
      <c r="F12" s="34" t="n">
        <v>1.50372973398807E-055</v>
      </c>
      <c r="G12" s="0" t="s">
        <v>322</v>
      </c>
      <c r="H12" s="34" t="n">
        <v>0.261235729951786</v>
      </c>
      <c r="I12" s="34" t="n">
        <v>0.0177151281964416</v>
      </c>
      <c r="J12" s="34" t="n">
        <v>14.7464769690044</v>
      </c>
      <c r="K12" s="34" t="n">
        <v>3.24149819771764E-049</v>
      </c>
      <c r="L12" s="0" t="s">
        <v>322</v>
      </c>
      <c r="M12" s="34" t="n">
        <v>0.366568708549507</v>
      </c>
      <c r="N12" s="34" t="n">
        <v>0.0202642417884142</v>
      </c>
      <c r="O12" s="34" t="n">
        <v>18.0894361791068</v>
      </c>
      <c r="P12" s="34" t="n">
        <v>3.86016022827365E-073</v>
      </c>
    </row>
    <row r="13" customFormat="false" ht="13.8" hidden="false" customHeight="false" outlineLevel="0" collapsed="false">
      <c r="A13" s="0" t="s">
        <v>323</v>
      </c>
      <c r="C13" s="34" t="n">
        <v>0.147947786839425</v>
      </c>
      <c r="D13" s="34" t="n">
        <v>0.00720006517245605</v>
      </c>
      <c r="E13" s="34" t="n">
        <v>20.5481177316841</v>
      </c>
      <c r="F13" s="34" t="n">
        <v>8.0005664592892E-094</v>
      </c>
      <c r="G13" s="0" t="s">
        <v>323</v>
      </c>
      <c r="H13" s="34" t="n">
        <v>0.19513858035204</v>
      </c>
      <c r="I13" s="34" t="n">
        <v>0.0107605541656183</v>
      </c>
      <c r="J13" s="34" t="n">
        <v>18.1346218185993</v>
      </c>
      <c r="K13" s="34" t="n">
        <v>1.69863548952285E-073</v>
      </c>
      <c r="L13" s="0" t="s">
        <v>323</v>
      </c>
      <c r="M13" s="34" t="n">
        <v>0.198877820637728</v>
      </c>
      <c r="N13" s="34" t="n">
        <v>0.0123034314977589</v>
      </c>
      <c r="O13" s="34" t="n">
        <v>16.1644189000405</v>
      </c>
      <c r="P13" s="34" t="n">
        <v>8.98814278831917E-059</v>
      </c>
    </row>
    <row r="14" customFormat="false" ht="13.8" hidden="false" customHeight="false" outlineLevel="0" collapsed="false">
      <c r="A14" s="0" t="s">
        <v>324</v>
      </c>
      <c r="C14" s="34" t="n">
        <v>0.156276169189719</v>
      </c>
      <c r="D14" s="34" t="n">
        <v>0.0207181505539458</v>
      </c>
      <c r="E14" s="34" t="n">
        <v>7.54295943466615</v>
      </c>
      <c r="F14" s="34" t="n">
        <v>4.59424100145958E-014</v>
      </c>
      <c r="G14" s="0" t="s">
        <v>324</v>
      </c>
      <c r="H14" s="34" t="n">
        <v>0.182978300223072</v>
      </c>
      <c r="I14" s="34" t="n">
        <v>0.0307087755458821</v>
      </c>
      <c r="J14" s="34" t="n">
        <v>5.95850199073173</v>
      </c>
      <c r="K14" s="34" t="n">
        <v>2.54560547889463E-009</v>
      </c>
      <c r="L14" s="0" t="s">
        <v>324</v>
      </c>
      <c r="M14" s="34" t="n">
        <v>0.158172722182796</v>
      </c>
      <c r="N14" s="34" t="n">
        <v>0.0348771535586245</v>
      </c>
      <c r="O14" s="34" t="n">
        <v>4.53513850885009</v>
      </c>
      <c r="P14" s="34" t="n">
        <v>5.75656949651034E-006</v>
      </c>
    </row>
    <row r="15" customFormat="false" ht="13.8" hidden="false" customHeight="false" outlineLevel="0" collapsed="false">
      <c r="A15" s="0" t="s">
        <v>325</v>
      </c>
      <c r="C15" s="34" t="n">
        <v>0.0423268065459996</v>
      </c>
      <c r="D15" s="34" t="n">
        <v>0.00806170652856741</v>
      </c>
      <c r="E15" s="34" t="n">
        <v>5.25035318465274</v>
      </c>
      <c r="F15" s="34" t="n">
        <v>1.5180785801638E-007</v>
      </c>
      <c r="G15" s="0" t="s">
        <v>325</v>
      </c>
      <c r="H15" s="34" t="n">
        <v>0.116099464027625</v>
      </c>
      <c r="I15" s="34" t="n">
        <v>0.0124088647144024</v>
      </c>
      <c r="J15" s="34" t="n">
        <v>9.35617130976326</v>
      </c>
      <c r="K15" s="34" t="n">
        <v>8.26784800493994E-021</v>
      </c>
      <c r="L15" s="0" t="s">
        <v>325</v>
      </c>
      <c r="M15" s="34" t="n">
        <v>0.155071464181393</v>
      </c>
      <c r="N15" s="34" t="n">
        <v>0.0145881783530173</v>
      </c>
      <c r="O15" s="34" t="n">
        <v>10.6299402453713</v>
      </c>
      <c r="P15" s="34" t="n">
        <v>2.16250990140343E-026</v>
      </c>
    </row>
    <row r="16" customFormat="false" ht="13.8" hidden="false" customHeight="false" outlineLevel="0" collapsed="false">
      <c r="A16" s="0" t="s">
        <v>326</v>
      </c>
      <c r="C16" s="34" t="n">
        <v>-0.0277601975364653</v>
      </c>
      <c r="D16" s="34" t="n">
        <v>0.00887408007641205</v>
      </c>
      <c r="E16" s="34" t="n">
        <v>-3.12823383352759</v>
      </c>
      <c r="F16" s="34" t="n">
        <v>0.00175860210957461</v>
      </c>
      <c r="G16" s="0" t="s">
        <v>326</v>
      </c>
      <c r="H16" s="34" t="n">
        <v>-0.0390476021350777</v>
      </c>
      <c r="I16" s="34" t="n">
        <v>0.0139448680514496</v>
      </c>
      <c r="J16" s="34" t="n">
        <v>-2.80014138470235</v>
      </c>
      <c r="K16" s="34" t="n">
        <v>0.00510802285630828</v>
      </c>
      <c r="L16" s="0" t="s">
        <v>326</v>
      </c>
      <c r="M16" s="34" t="n">
        <v>-0.0162949800515766</v>
      </c>
      <c r="N16" s="34" t="n">
        <v>0.0165973090306168</v>
      </c>
      <c r="O16" s="34" t="n">
        <v>-0.981784458041815</v>
      </c>
      <c r="P16" s="34" t="n">
        <v>0.326206046507857</v>
      </c>
    </row>
    <row r="17" customFormat="false" ht="13.8" hidden="false" customHeight="false" outlineLevel="0" collapsed="false">
      <c r="A17" s="0" t="s">
        <v>327</v>
      </c>
      <c r="C17" s="34" t="n">
        <v>0.291960191791802</v>
      </c>
      <c r="D17" s="34" t="n">
        <v>0.00868081037863942</v>
      </c>
      <c r="E17" s="34" t="n">
        <v>33.6328267819579</v>
      </c>
      <c r="F17" s="34" t="n">
        <v>5.55894511268342E-248</v>
      </c>
      <c r="G17" s="0" t="s">
        <v>327</v>
      </c>
      <c r="H17" s="34" t="n">
        <v>0.373120358456732</v>
      </c>
      <c r="I17" s="34" t="n">
        <v>0.0128676731408069</v>
      </c>
      <c r="J17" s="34" t="n">
        <v>28.9967233682261</v>
      </c>
      <c r="K17" s="34" t="n">
        <v>7.23622133096431E-185</v>
      </c>
      <c r="L17" s="0" t="s">
        <v>327</v>
      </c>
      <c r="M17" s="34" t="n">
        <v>0.465649344638786</v>
      </c>
      <c r="N17" s="34" t="n">
        <v>0.0147231879126706</v>
      </c>
      <c r="O17" s="34" t="n">
        <v>31.626937549174</v>
      </c>
      <c r="P17" s="34" t="n">
        <v>1.57420153430953E-219</v>
      </c>
    </row>
    <row r="18" customFormat="false" ht="13.8" hidden="false" customHeight="false" outlineLevel="0" collapsed="false">
      <c r="A18" s="0" t="s">
        <v>328</v>
      </c>
      <c r="C18" s="34" t="n">
        <v>0.0595150599568005</v>
      </c>
      <c r="D18" s="34" t="n">
        <v>0.0109228355599808</v>
      </c>
      <c r="E18" s="34" t="n">
        <v>5.4486822244997</v>
      </c>
      <c r="F18" s="34" t="n">
        <v>5.07443839916133E-008</v>
      </c>
      <c r="G18" s="0" t="s">
        <v>328</v>
      </c>
      <c r="H18" s="34" t="n">
        <v>0.0421732751761665</v>
      </c>
      <c r="I18" s="34" t="n">
        <v>0.0172321188122776</v>
      </c>
      <c r="J18" s="34" t="n">
        <v>2.44736446142182</v>
      </c>
      <c r="K18" s="34" t="n">
        <v>0.0143905238915044</v>
      </c>
      <c r="L18" s="0" t="s">
        <v>328</v>
      </c>
      <c r="M18" s="34" t="n">
        <v>0.147136392425224</v>
      </c>
      <c r="N18" s="34" t="n">
        <v>0.0197711821559107</v>
      </c>
      <c r="O18" s="34" t="n">
        <v>7.44196230983774</v>
      </c>
      <c r="P18" s="34" t="n">
        <v>9.92005293259704E-014</v>
      </c>
    </row>
    <row r="19" customFormat="false" ht="13.8" hidden="false" customHeight="false" outlineLevel="0" collapsed="false">
      <c r="A19" s="0" t="s">
        <v>329</v>
      </c>
      <c r="C19" s="34" t="n">
        <v>0.132743405392898</v>
      </c>
      <c r="D19" s="34" t="n">
        <v>0.0131055841145557</v>
      </c>
      <c r="E19" s="34" t="n">
        <v>10.1287668090632</v>
      </c>
      <c r="F19" s="34" t="n">
        <v>4.11810147181713E-024</v>
      </c>
      <c r="G19" s="0" t="s">
        <v>329</v>
      </c>
      <c r="H19" s="34" t="n">
        <v>0.14129988514971</v>
      </c>
      <c r="I19" s="34" t="n">
        <v>0.0205572353069097</v>
      </c>
      <c r="J19" s="34" t="n">
        <v>6.87348678166932</v>
      </c>
      <c r="K19" s="34" t="n">
        <v>6.2651317305895E-012</v>
      </c>
      <c r="L19" s="0" t="s">
        <v>329</v>
      </c>
      <c r="M19" s="34" t="n">
        <v>0.198068340651093</v>
      </c>
      <c r="N19" s="34" t="n">
        <v>0.0238305911326348</v>
      </c>
      <c r="O19" s="34" t="n">
        <v>8.31151604879194</v>
      </c>
      <c r="P19" s="34" t="n">
        <v>9.44870663480399E-017</v>
      </c>
    </row>
    <row r="20" customFormat="false" ht="13.8" hidden="false" customHeight="false" outlineLevel="0" collapsed="false">
      <c r="A20" s="0" t="s">
        <v>330</v>
      </c>
      <c r="C20" s="34" t="n">
        <v>-0.0220816520167712</v>
      </c>
      <c r="D20" s="34" t="n">
        <v>0.0155669557630275</v>
      </c>
      <c r="E20" s="34" t="n">
        <v>-1.41849519924869</v>
      </c>
      <c r="F20" s="34" t="n">
        <v>0.156046239304662</v>
      </c>
      <c r="G20" s="0" t="s">
        <v>330</v>
      </c>
      <c r="H20" s="34" t="n">
        <v>0.0192489835902931</v>
      </c>
      <c r="I20" s="34" t="n">
        <v>0.0246669567645312</v>
      </c>
      <c r="J20" s="34" t="n">
        <v>0.780355022066255</v>
      </c>
      <c r="K20" s="34" t="n">
        <v>0.435181934547249</v>
      </c>
      <c r="L20" s="0" t="s">
        <v>330</v>
      </c>
      <c r="M20" s="34" t="n">
        <v>0.0744982102819455</v>
      </c>
      <c r="N20" s="34" t="n">
        <v>0.0287999590198634</v>
      </c>
      <c r="O20" s="34" t="n">
        <v>2.58674709330537</v>
      </c>
      <c r="P20" s="34" t="n">
        <v>0.00968866757968821</v>
      </c>
    </row>
    <row r="21" customFormat="false" ht="13.8" hidden="false" customHeight="false" outlineLevel="0" collapsed="false">
      <c r="A21" s="0" t="s">
        <v>331</v>
      </c>
      <c r="C21" s="34" t="n">
        <v>-0.030111341026618</v>
      </c>
      <c r="D21" s="34" t="n">
        <v>0.0176428155950715</v>
      </c>
      <c r="E21" s="34" t="n">
        <v>-1.70671970493357</v>
      </c>
      <c r="F21" s="34" t="n">
        <v>0.0878741628834724</v>
      </c>
      <c r="G21" s="0" t="s">
        <v>331</v>
      </c>
      <c r="H21" s="34" t="n">
        <v>-0.0548955835913917</v>
      </c>
      <c r="I21" s="34" t="n">
        <v>0.0288652687465713</v>
      </c>
      <c r="J21" s="34" t="n">
        <v>-1.90178667911804</v>
      </c>
      <c r="K21" s="34" t="n">
        <v>0.0571990484688423</v>
      </c>
      <c r="L21" s="0" t="s">
        <v>331</v>
      </c>
      <c r="M21" s="34" t="n">
        <v>-0.0355209905852637</v>
      </c>
      <c r="N21" s="34" t="n">
        <v>0.0338117703221005</v>
      </c>
      <c r="O21" s="34" t="n">
        <v>-1.05055104322787</v>
      </c>
      <c r="P21" s="34" t="n">
        <v>0.293464836050379</v>
      </c>
    </row>
    <row r="22" customFormat="false" ht="13.8" hidden="false" customHeight="false" outlineLevel="0" collapsed="false">
      <c r="A22" s="0" t="s">
        <v>332</v>
      </c>
      <c r="C22" s="34" t="n">
        <v>0.0703166804007413</v>
      </c>
      <c r="D22" s="34" t="n">
        <v>0.01846004358959</v>
      </c>
      <c r="E22" s="34" t="n">
        <v>3.80912862201442</v>
      </c>
      <c r="F22" s="34" t="n">
        <v>0.000139457402039014</v>
      </c>
      <c r="G22" s="0" t="s">
        <v>332</v>
      </c>
      <c r="H22" s="34" t="n">
        <v>0.0523566471675624</v>
      </c>
      <c r="I22" s="34" t="n">
        <v>0.0294553005901616</v>
      </c>
      <c r="J22" s="34" t="n">
        <v>1.77749492005015</v>
      </c>
      <c r="K22" s="34" t="n">
        <v>0.0754868459061854</v>
      </c>
      <c r="L22" s="0" t="s">
        <v>332</v>
      </c>
      <c r="M22" s="34" t="n">
        <v>0.102396970707347</v>
      </c>
      <c r="N22" s="34" t="n">
        <v>0.0342519645066727</v>
      </c>
      <c r="O22" s="34" t="n">
        <v>2.98952110286692</v>
      </c>
      <c r="P22" s="34" t="n">
        <v>0.00279415145745261</v>
      </c>
    </row>
    <row r="23" customFormat="false" ht="13.8" hidden="false" customHeight="false" outlineLevel="0" collapsed="false">
      <c r="A23" s="0" t="s">
        <v>333</v>
      </c>
      <c r="C23" s="34" t="n">
        <v>-0.0450953828493216</v>
      </c>
      <c r="D23" s="34" t="n">
        <v>0.0240077979095328</v>
      </c>
      <c r="E23" s="34" t="n">
        <v>-1.87836398070543</v>
      </c>
      <c r="F23" s="34" t="n">
        <v>0.0603313894461416</v>
      </c>
      <c r="G23" s="0" t="s">
        <v>333</v>
      </c>
      <c r="H23" s="34" t="n">
        <v>-0.141642967984013</v>
      </c>
      <c r="I23" s="34" t="n">
        <v>0.0403810325397026</v>
      </c>
      <c r="J23" s="34" t="n">
        <v>-3.50766087629756</v>
      </c>
      <c r="K23" s="34" t="n">
        <v>0.00045206492556872</v>
      </c>
      <c r="L23" s="0" t="s">
        <v>333</v>
      </c>
      <c r="M23" s="34" t="n">
        <v>-0.131540932920506</v>
      </c>
      <c r="N23" s="34" t="n">
        <v>0.0482391762967165</v>
      </c>
      <c r="O23" s="34" t="n">
        <v>-2.72684865328972</v>
      </c>
      <c r="P23" s="34" t="n">
        <v>0.00639423602280945</v>
      </c>
    </row>
    <row r="24" customFormat="false" ht="13.8" hidden="false" customHeight="false" outlineLevel="0" collapsed="false">
      <c r="A24" s="0" t="s">
        <v>334</v>
      </c>
      <c r="C24" s="34" t="n">
        <v>-0.068333348817885</v>
      </c>
      <c r="D24" s="34" t="n">
        <v>0.0351663979396767</v>
      </c>
      <c r="E24" s="34" t="n">
        <v>-1.94314325098356</v>
      </c>
      <c r="F24" s="34" t="n">
        <v>0.0519988524903887</v>
      </c>
      <c r="G24" s="0" t="s">
        <v>334</v>
      </c>
      <c r="H24" s="34" t="n">
        <v>-0.12586413350506</v>
      </c>
      <c r="I24" s="34" t="n">
        <v>0.0576985800947776</v>
      </c>
      <c r="J24" s="34" t="n">
        <v>-2.18140781451315</v>
      </c>
      <c r="K24" s="34" t="n">
        <v>0.0291532661520131</v>
      </c>
      <c r="L24" s="0" t="s">
        <v>334</v>
      </c>
      <c r="M24" s="34" t="n">
        <v>-0.200299115647116</v>
      </c>
      <c r="N24" s="34" t="n">
        <v>0.07172248897663</v>
      </c>
      <c r="O24" s="34" t="n">
        <v>-2.7926961055741</v>
      </c>
      <c r="P24" s="34" t="n">
        <v>0.00522707730452607</v>
      </c>
    </row>
    <row r="25" customFormat="false" ht="13.8" hidden="false" customHeight="false" outlineLevel="0" collapsed="false">
      <c r="A25" s="0" t="s">
        <v>335</v>
      </c>
      <c r="C25" s="34" t="n">
        <v>0.31979938690007</v>
      </c>
      <c r="D25" s="34" t="n">
        <v>0.022281056606588</v>
      </c>
      <c r="E25" s="34" t="n">
        <v>14.3529722376592</v>
      </c>
      <c r="F25" s="34" t="n">
        <v>1.02067401838073E-046</v>
      </c>
      <c r="G25" s="0" t="s">
        <v>335</v>
      </c>
      <c r="H25" s="34" t="n">
        <v>0.47336052360265</v>
      </c>
      <c r="I25" s="34" t="n">
        <v>0.0319513158434521</v>
      </c>
      <c r="J25" s="34" t="n">
        <v>14.8150556904109</v>
      </c>
      <c r="K25" s="34" t="n">
        <v>1.17092188258424E-049</v>
      </c>
      <c r="L25" s="0" t="s">
        <v>335</v>
      </c>
      <c r="M25" s="34" t="n">
        <v>0.540389242528188</v>
      </c>
      <c r="N25" s="34" t="n">
        <v>0.0367198470327876</v>
      </c>
      <c r="O25" s="34" t="n">
        <v>14.7165439454491</v>
      </c>
      <c r="P25" s="34" t="n">
        <v>5.04807951046692E-049</v>
      </c>
    </row>
    <row r="26" customFormat="false" ht="13.8" hidden="false" customHeight="false" outlineLevel="0" collapsed="false">
      <c r="A26" s="0" t="s">
        <v>336</v>
      </c>
      <c r="C26" s="34" t="n">
        <v>0.116327957982778</v>
      </c>
      <c r="D26" s="34" t="n">
        <v>0.0204114375439096</v>
      </c>
      <c r="E26" s="34" t="n">
        <v>5.69915557062212</v>
      </c>
      <c r="F26" s="34" t="n">
        <v>1.20402315856259E-008</v>
      </c>
      <c r="G26" s="0" t="s">
        <v>336</v>
      </c>
      <c r="H26" s="34" t="n">
        <v>0.237438632526819</v>
      </c>
      <c r="I26" s="34" t="n">
        <v>0.0302319023722508</v>
      </c>
      <c r="J26" s="34" t="n">
        <v>7.85390974088216</v>
      </c>
      <c r="K26" s="34" t="n">
        <v>4.03264545432301E-015</v>
      </c>
      <c r="L26" s="0" t="s">
        <v>336</v>
      </c>
      <c r="M26" s="34" t="n">
        <v>0.285606430265328</v>
      </c>
      <c r="N26" s="34" t="n">
        <v>0.0351417034869482</v>
      </c>
      <c r="O26" s="34" t="n">
        <v>8.12727904244606</v>
      </c>
      <c r="P26" s="34" t="n">
        <v>4.39033918180648E-016</v>
      </c>
    </row>
    <row r="27" customFormat="false" ht="13.8" hidden="false" customHeight="false" outlineLevel="0" collapsed="false">
      <c r="A27" s="0" t="s">
        <v>337</v>
      </c>
      <c r="C27" s="34" t="n">
        <v>0.120195976314231</v>
      </c>
      <c r="D27" s="34" t="n">
        <v>0.00943071922243955</v>
      </c>
      <c r="E27" s="34" t="n">
        <v>12.7451547945819</v>
      </c>
      <c r="F27" s="34" t="n">
        <v>3.31731714035842E-037</v>
      </c>
      <c r="G27" s="0" t="s">
        <v>337</v>
      </c>
      <c r="H27" s="34" t="n">
        <v>0.170380849807672</v>
      </c>
      <c r="I27" s="34" t="n">
        <v>0.0140024856863986</v>
      </c>
      <c r="J27" s="34" t="n">
        <v>12.1679003016709</v>
      </c>
      <c r="K27" s="34" t="n">
        <v>4.60783387437711E-034</v>
      </c>
      <c r="L27" s="0" t="s">
        <v>337</v>
      </c>
      <c r="M27" s="34" t="n">
        <v>0.214057231415713</v>
      </c>
      <c r="N27" s="34" t="n">
        <v>0.0156435130177623</v>
      </c>
      <c r="O27" s="34" t="n">
        <v>13.6834502053768</v>
      </c>
      <c r="P27" s="34" t="n">
        <v>1.27496582425937E-042</v>
      </c>
    </row>
    <row r="28" customFormat="false" ht="13.8" hidden="false" customHeight="false" outlineLevel="0" collapsed="false">
      <c r="A28" s="0" t="s">
        <v>338</v>
      </c>
      <c r="C28" s="34" t="n">
        <v>0.142612065759316</v>
      </c>
      <c r="D28" s="34" t="n">
        <v>0.00706207915312304</v>
      </c>
      <c r="E28" s="34" t="n">
        <v>20.1940622113035</v>
      </c>
      <c r="F28" s="34" t="n">
        <v>1.10402962447508E-090</v>
      </c>
      <c r="G28" s="0" t="s">
        <v>338</v>
      </c>
      <c r="H28" s="34" t="n">
        <v>0.117987407531569</v>
      </c>
      <c r="I28" s="34" t="n">
        <v>0.011007074260089</v>
      </c>
      <c r="J28" s="34" t="n">
        <v>10.7192342618587</v>
      </c>
      <c r="K28" s="34" t="n">
        <v>8.26850305169556E-027</v>
      </c>
      <c r="L28" s="0" t="s">
        <v>338</v>
      </c>
      <c r="M28" s="34" t="n">
        <v>0.122190051310895</v>
      </c>
      <c r="N28" s="34" t="n">
        <v>0.012863629273236</v>
      </c>
      <c r="O28" s="34" t="n">
        <v>9.49887848253859</v>
      </c>
      <c r="P28" s="34" t="n">
        <v>2.12162902254679E-021</v>
      </c>
    </row>
    <row r="29" customFormat="false" ht="13.8" hidden="false" customHeight="false" outlineLevel="0" collapsed="false">
      <c r="A29" s="0" t="s">
        <v>339</v>
      </c>
      <c r="C29" s="34" t="n">
        <v>0.102991906635202</v>
      </c>
      <c r="D29" s="34" t="n">
        <v>0.00782164410654189</v>
      </c>
      <c r="E29" s="34" t="n">
        <v>13.1675521453426</v>
      </c>
      <c r="F29" s="34" t="n">
        <v>1.3490089995023E-039</v>
      </c>
      <c r="G29" s="0" t="s">
        <v>339</v>
      </c>
      <c r="H29" s="34" t="n">
        <v>0.0803414048228602</v>
      </c>
      <c r="I29" s="34" t="n">
        <v>0.0121452711191663</v>
      </c>
      <c r="J29" s="34" t="n">
        <v>6.61503592917532</v>
      </c>
      <c r="K29" s="34" t="n">
        <v>3.71461513863504E-011</v>
      </c>
      <c r="L29" s="0" t="s">
        <v>339</v>
      </c>
      <c r="M29" s="34" t="n">
        <v>0.095730001251893</v>
      </c>
      <c r="N29" s="34" t="n">
        <v>0.0142599805561322</v>
      </c>
      <c r="O29" s="34" t="n">
        <v>6.7131929721129</v>
      </c>
      <c r="P29" s="34" t="n">
        <v>1.90411027373542E-011</v>
      </c>
    </row>
    <row r="30" customFormat="false" ht="13.8" hidden="false" customHeight="false" outlineLevel="0" collapsed="false">
      <c r="A30" s="0" t="s">
        <v>340</v>
      </c>
      <c r="C30" s="34" t="n">
        <v>0.0368411417256666</v>
      </c>
      <c r="D30" s="34" t="n">
        <v>0.00748943011890226</v>
      </c>
      <c r="E30" s="34" t="n">
        <v>4.91908478225664</v>
      </c>
      <c r="F30" s="34" t="n">
        <v>8.69498045883899E-007</v>
      </c>
      <c r="G30" s="0" t="s">
        <v>340</v>
      </c>
      <c r="H30" s="34" t="n">
        <v>0.00991279968398899</v>
      </c>
      <c r="I30" s="34" t="n">
        <v>0.0116557197989368</v>
      </c>
      <c r="J30" s="34" t="n">
        <v>0.850466539603432</v>
      </c>
      <c r="K30" s="34" t="n">
        <v>0.395065755760996</v>
      </c>
      <c r="L30" s="0" t="s">
        <v>340</v>
      </c>
      <c r="M30" s="34" t="n">
        <v>0.0367580980696689</v>
      </c>
      <c r="N30" s="34" t="n">
        <v>0.0136601632243329</v>
      </c>
      <c r="O30" s="34" t="n">
        <v>2.69089742677389</v>
      </c>
      <c r="P30" s="34" t="n">
        <v>0.00712601010210113</v>
      </c>
    </row>
    <row r="31" customFormat="false" ht="13.8" hidden="false" customHeight="false" outlineLevel="0" collapsed="false">
      <c r="A31" s="0" t="s">
        <v>341</v>
      </c>
      <c r="C31" s="34" t="n">
        <v>-0.041217369916563</v>
      </c>
      <c r="D31" s="34" t="n">
        <v>0.00980823453028167</v>
      </c>
      <c r="E31" s="34" t="n">
        <v>-4.20232303676157</v>
      </c>
      <c r="F31" s="34" t="n">
        <v>2.64189760778049E-005</v>
      </c>
      <c r="G31" s="0" t="s">
        <v>341</v>
      </c>
      <c r="H31" s="34" t="n">
        <v>-0.0452083428741652</v>
      </c>
      <c r="I31" s="34" t="n">
        <v>0.0151051877883854</v>
      </c>
      <c r="J31" s="34" t="n">
        <v>-2.99290174392447</v>
      </c>
      <c r="K31" s="34" t="n">
        <v>0.00276338699600697</v>
      </c>
      <c r="L31" s="0" t="s">
        <v>341</v>
      </c>
      <c r="M31" s="34" t="n">
        <v>-0.000613230833246322</v>
      </c>
      <c r="N31" s="34" t="n">
        <v>0.0174837911561927</v>
      </c>
      <c r="O31" s="34" t="n">
        <v>-0.0350742483576919</v>
      </c>
      <c r="P31" s="34" t="n">
        <v>0.97202053560758</v>
      </c>
    </row>
    <row r="32" customFormat="false" ht="13.8" hidden="false" customHeight="false" outlineLevel="0" collapsed="false">
      <c r="A32" s="0" t="s">
        <v>342</v>
      </c>
      <c r="C32" s="34" t="n">
        <v>-0.198921307492806</v>
      </c>
      <c r="D32" s="34" t="n">
        <v>0.0148755267666643</v>
      </c>
      <c r="E32" s="34" t="n">
        <v>-13.3723874531008</v>
      </c>
      <c r="F32" s="34" t="n">
        <v>8.76806666639502E-041</v>
      </c>
      <c r="G32" s="0" t="s">
        <v>342</v>
      </c>
      <c r="H32" s="34" t="n">
        <v>-0.238557192703922</v>
      </c>
      <c r="I32" s="34" t="n">
        <v>0.023548267435772</v>
      </c>
      <c r="J32" s="34" t="n">
        <v>-10.1305624014415</v>
      </c>
      <c r="K32" s="34" t="n">
        <v>4.04317202173624E-024</v>
      </c>
      <c r="L32" s="0" t="s">
        <v>342</v>
      </c>
      <c r="M32" s="34" t="n">
        <v>-0.177516744664792</v>
      </c>
      <c r="N32" s="34" t="n">
        <v>0.0270638457488101</v>
      </c>
      <c r="O32" s="34" t="n">
        <v>-6.55918402404421</v>
      </c>
      <c r="P32" s="34" t="n">
        <v>5.41030030218176E-011</v>
      </c>
    </row>
    <row r="33" customFormat="false" ht="13.8" hidden="false" customHeight="false" outlineLevel="0" collapsed="false">
      <c r="A33" s="0" t="s">
        <v>343</v>
      </c>
      <c r="C33" s="34" t="n">
        <v>0.0600267656720254</v>
      </c>
      <c r="D33" s="34" t="n">
        <v>0.00870838349117078</v>
      </c>
      <c r="E33" s="34" t="n">
        <v>6.89298602121566</v>
      </c>
      <c r="F33" s="34" t="n">
        <v>5.46332452381427E-012</v>
      </c>
      <c r="G33" s="0" t="s">
        <v>343</v>
      </c>
      <c r="H33" s="34" t="n">
        <v>0.00682238724779041</v>
      </c>
      <c r="I33" s="34" t="n">
        <v>0.0135962859770332</v>
      </c>
      <c r="J33" s="34" t="n">
        <v>0.501783153084215</v>
      </c>
      <c r="K33" s="34" t="n">
        <v>0.615820064923673</v>
      </c>
      <c r="L33" s="0" t="s">
        <v>343</v>
      </c>
      <c r="M33" s="34" t="n">
        <v>0.0056632198680146</v>
      </c>
      <c r="N33" s="34" t="n">
        <v>0.0154361511393316</v>
      </c>
      <c r="O33" s="34" t="n">
        <v>0.366880306942875</v>
      </c>
      <c r="P33" s="34" t="n">
        <v>0.713708301505831</v>
      </c>
    </row>
    <row r="34" customFormat="false" ht="13.8" hidden="false" customHeight="false" outlineLevel="0" collapsed="false">
      <c r="A34" s="0" t="s">
        <v>344</v>
      </c>
      <c r="C34" s="34" t="n">
        <v>0.0436857279202797</v>
      </c>
      <c r="D34" s="34" t="n">
        <v>0.00737691044950315</v>
      </c>
      <c r="E34" s="34" t="n">
        <v>5.92195448478327</v>
      </c>
      <c r="F34" s="34" t="n">
        <v>3.1813768512008E-009</v>
      </c>
      <c r="G34" s="0" t="s">
        <v>344</v>
      </c>
      <c r="H34" s="34" t="n">
        <v>0.0285561224729822</v>
      </c>
      <c r="I34" s="34" t="n">
        <v>0.0114522570751171</v>
      </c>
      <c r="J34" s="34" t="n">
        <v>2.49349296699141</v>
      </c>
      <c r="K34" s="34" t="n">
        <v>0.0126493090194022</v>
      </c>
      <c r="L34" s="0" t="s">
        <v>344</v>
      </c>
      <c r="M34" s="34" t="n">
        <v>0.0388037435525452</v>
      </c>
      <c r="N34" s="34" t="n">
        <v>0.013037759035957</v>
      </c>
      <c r="O34" s="34" t="n">
        <v>2.9762586841441</v>
      </c>
      <c r="P34" s="34" t="n">
        <v>0.00291788620264293</v>
      </c>
    </row>
    <row r="35" customFormat="false" ht="13.8" hidden="false" customHeight="false" outlineLevel="0" collapsed="false">
      <c r="A35" s="0" t="s">
        <v>345</v>
      </c>
      <c r="C35" s="34" t="n">
        <v>-0.0053587964906018</v>
      </c>
      <c r="D35" s="34" t="n">
        <v>0.011363742507336</v>
      </c>
      <c r="E35" s="34" t="n">
        <v>-0.471569686407658</v>
      </c>
      <c r="F35" s="34" t="n">
        <v>0.637233968130023</v>
      </c>
      <c r="G35" s="0" t="s">
        <v>345</v>
      </c>
      <c r="H35" s="34" t="n">
        <v>-0.0285236819260117</v>
      </c>
      <c r="I35" s="34" t="n">
        <v>0.0174568549402042</v>
      </c>
      <c r="J35" s="34" t="n">
        <v>-1.63395308168139</v>
      </c>
      <c r="K35" s="34" t="n">
        <v>0.102268702622891</v>
      </c>
      <c r="L35" s="0" t="s">
        <v>345</v>
      </c>
      <c r="M35" s="34" t="n">
        <v>0.00594889108485604</v>
      </c>
      <c r="N35" s="34" t="n">
        <v>0.0196180704444021</v>
      </c>
      <c r="O35" s="34" t="n">
        <v>0.303235280029975</v>
      </c>
      <c r="P35" s="34" t="n">
        <v>0.7617105643707</v>
      </c>
    </row>
    <row r="36" customFormat="false" ht="13.8" hidden="false" customHeight="false" outlineLevel="0" collapsed="false">
      <c r="A36" s="0" t="s">
        <v>346</v>
      </c>
      <c r="C36" s="34" t="n">
        <v>-0.0394704084273884</v>
      </c>
      <c r="D36" s="34" t="n">
        <v>0.00502428271635833</v>
      </c>
      <c r="E36" s="34" t="n">
        <v>-7.85592902622269</v>
      </c>
      <c r="F36" s="34" t="n">
        <v>3.96819738641024E-015</v>
      </c>
      <c r="G36" s="0" t="s">
        <v>346</v>
      </c>
      <c r="H36" s="34" t="n">
        <v>-0.0621984438491523</v>
      </c>
      <c r="I36" s="34" t="n">
        <v>0.00778188750100653</v>
      </c>
      <c r="J36" s="34" t="n">
        <v>-7.99271948368663</v>
      </c>
      <c r="K36" s="34" t="n">
        <v>1.31994232899544E-015</v>
      </c>
      <c r="L36" s="0" t="s">
        <v>346</v>
      </c>
      <c r="M36" s="34" t="n">
        <v>-0.0595930014961217</v>
      </c>
      <c r="N36" s="34" t="n">
        <v>0.00911948147191024</v>
      </c>
      <c r="O36" s="34" t="n">
        <v>-6.53469187690985</v>
      </c>
      <c r="P36" s="34" t="n">
        <v>6.37406292455409E-011</v>
      </c>
    </row>
    <row r="37" customFormat="false" ht="13.8" hidden="false" customHeight="false" outlineLevel="0" collapsed="false">
      <c r="A37" s="0" t="s">
        <v>347</v>
      </c>
      <c r="C37" s="34" t="n">
        <v>0.0313284558175653</v>
      </c>
      <c r="D37" s="34" t="n">
        <v>0.00859472089171625</v>
      </c>
      <c r="E37" s="34" t="n">
        <v>3.6450812321038</v>
      </c>
      <c r="F37" s="34" t="n">
        <v>0.000267307355470863</v>
      </c>
      <c r="G37" s="0" t="s">
        <v>347</v>
      </c>
      <c r="H37" s="34" t="n">
        <v>-0.00756322329886894</v>
      </c>
      <c r="I37" s="34" t="n">
        <v>0.01339135678173</v>
      </c>
      <c r="J37" s="34" t="n">
        <v>-0.564783944012867</v>
      </c>
      <c r="K37" s="34" t="n">
        <v>0.572220729222079</v>
      </c>
      <c r="L37" s="0" t="s">
        <v>347</v>
      </c>
      <c r="M37" s="34" t="n">
        <v>0.00446930325355226</v>
      </c>
      <c r="N37" s="34" t="n">
        <v>0.0155976415221208</v>
      </c>
      <c r="O37" s="34" t="n">
        <v>0.286537118269697</v>
      </c>
      <c r="P37" s="34" t="n">
        <v>0.774466768398967</v>
      </c>
    </row>
    <row r="38" customFormat="false" ht="13.8" hidden="false" customHeight="false" outlineLevel="0" collapsed="false">
      <c r="A38" s="0" t="s">
        <v>348</v>
      </c>
      <c r="C38" s="34" t="n">
        <v>-0.209720537834534</v>
      </c>
      <c r="D38" s="34" t="n">
        <v>0.00828477946901598</v>
      </c>
      <c r="E38" s="34" t="n">
        <v>-25.3139553827428</v>
      </c>
      <c r="F38" s="34" t="n">
        <v>2.24258191725523E-141</v>
      </c>
      <c r="G38" s="0" t="s">
        <v>348</v>
      </c>
      <c r="H38" s="34" t="n">
        <v>-0.229762776749392</v>
      </c>
      <c r="I38" s="34" t="n">
        <v>0.0129415492963704</v>
      </c>
      <c r="J38" s="34" t="n">
        <v>-17.7538849088054</v>
      </c>
      <c r="K38" s="34" t="n">
        <v>1.60833311902842E-070</v>
      </c>
      <c r="L38" s="0" t="s">
        <v>348</v>
      </c>
      <c r="M38" s="34" t="n">
        <v>-0.177311627161512</v>
      </c>
      <c r="N38" s="34" t="n">
        <v>0.0150594402171998</v>
      </c>
      <c r="O38" s="34" t="n">
        <v>-11.7741180684126</v>
      </c>
      <c r="P38" s="34" t="n">
        <v>5.30692179014631E-032</v>
      </c>
    </row>
    <row r="39" customFormat="false" ht="13.8" hidden="false" customHeight="false" outlineLevel="0" collapsed="false">
      <c r="A39" s="0" t="s">
        <v>349</v>
      </c>
      <c r="C39" s="34" t="n">
        <v>-0.000263095715282265</v>
      </c>
      <c r="D39" s="34" t="n">
        <v>0.00947533612398215</v>
      </c>
      <c r="E39" s="34" t="n">
        <v>-0.0277663728061707</v>
      </c>
      <c r="F39" s="34" t="n">
        <v>0.977848486229175</v>
      </c>
      <c r="G39" s="0" t="s">
        <v>349</v>
      </c>
      <c r="H39" s="34" t="n">
        <v>-0.0594579021608648</v>
      </c>
      <c r="I39" s="34" t="n">
        <v>0.0147185869277547</v>
      </c>
      <c r="J39" s="34" t="n">
        <v>-4.03964745071727</v>
      </c>
      <c r="K39" s="34" t="n">
        <v>5.35316056508599E-005</v>
      </c>
      <c r="L39" s="0" t="s">
        <v>349</v>
      </c>
      <c r="M39" s="34" t="n">
        <v>-0.00776213816162387</v>
      </c>
      <c r="N39" s="34" t="n">
        <v>0.0169199047870982</v>
      </c>
      <c r="O39" s="34" t="n">
        <v>-0.45875779203809</v>
      </c>
      <c r="P39" s="34" t="n">
        <v>0.646408107820225</v>
      </c>
    </row>
    <row r="40" customFormat="false" ht="13.8" hidden="false" customHeight="false" outlineLevel="0" collapsed="false">
      <c r="A40" s="0" t="s">
        <v>350</v>
      </c>
      <c r="C40" s="34" t="n">
        <v>-0.198005316404709</v>
      </c>
      <c r="D40" s="34" t="n">
        <v>0.00768390633288008</v>
      </c>
      <c r="E40" s="34" t="n">
        <v>-25.768835254723</v>
      </c>
      <c r="F40" s="34" t="n">
        <v>1.98284143572337E-146</v>
      </c>
      <c r="G40" s="0" t="s">
        <v>350</v>
      </c>
      <c r="H40" s="34" t="n">
        <v>-0.155565702715145</v>
      </c>
      <c r="I40" s="34" t="n">
        <v>0.0117233042250723</v>
      </c>
      <c r="J40" s="34" t="n">
        <v>-13.2697829663451</v>
      </c>
      <c r="K40" s="34" t="n">
        <v>3.46583067473238E-040</v>
      </c>
      <c r="L40" s="0" t="s">
        <v>350</v>
      </c>
      <c r="M40" s="34" t="n">
        <v>-0.170855195972285</v>
      </c>
      <c r="N40" s="34" t="n">
        <v>0.0136444357147311</v>
      </c>
      <c r="O40" s="34" t="n">
        <v>-12.5219686284148</v>
      </c>
      <c r="P40" s="34" t="n">
        <v>5.66133254428671E-036</v>
      </c>
    </row>
    <row r="41" customFormat="false" ht="13.8" hidden="false" customHeight="false" outlineLevel="0" collapsed="false">
      <c r="A41" s="0" t="s">
        <v>351</v>
      </c>
      <c r="C41" s="34" t="n">
        <v>-0.109275778123291</v>
      </c>
      <c r="D41" s="34" t="n">
        <v>0.00978671193934587</v>
      </c>
      <c r="E41" s="34" t="n">
        <v>-11.1657294912263</v>
      </c>
      <c r="F41" s="34" t="n">
        <v>5.99966391445305E-029</v>
      </c>
      <c r="G41" s="0" t="s">
        <v>351</v>
      </c>
      <c r="H41" s="34" t="n">
        <v>-0.186847123399283</v>
      </c>
      <c r="I41" s="34" t="n">
        <v>0.0153240572687804</v>
      </c>
      <c r="J41" s="34" t="n">
        <v>-12.1930582822831</v>
      </c>
      <c r="K41" s="34" t="n">
        <v>3.38476040581931E-034</v>
      </c>
      <c r="L41" s="0" t="s">
        <v>351</v>
      </c>
      <c r="M41" s="34" t="n">
        <v>-0.16074665828815</v>
      </c>
      <c r="N41" s="34" t="n">
        <v>0.0175782063385142</v>
      </c>
      <c r="O41" s="34" t="n">
        <v>-9.14465646793272</v>
      </c>
      <c r="P41" s="34" t="n">
        <v>5.98196843270898E-020</v>
      </c>
    </row>
    <row r="42" customFormat="false" ht="13.8" hidden="false" customHeight="false" outlineLevel="0" collapsed="false">
      <c r="A42" s="0" t="s">
        <v>352</v>
      </c>
      <c r="C42" s="34" t="n">
        <v>0.0472741106328363</v>
      </c>
      <c r="D42" s="34" t="n">
        <v>0.0125451650138995</v>
      </c>
      <c r="E42" s="34" t="n">
        <v>3.7683131772646</v>
      </c>
      <c r="F42" s="34" t="n">
        <v>0.000164354423278605</v>
      </c>
      <c r="G42" s="0" t="s">
        <v>352</v>
      </c>
      <c r="H42" s="34" t="n">
        <v>-0.037080224416042</v>
      </c>
      <c r="I42" s="34" t="n">
        <v>0.0192537231417151</v>
      </c>
      <c r="J42" s="34" t="n">
        <v>-1.92587294120295</v>
      </c>
      <c r="K42" s="34" t="n">
        <v>0.05412024086858</v>
      </c>
      <c r="L42" s="0" t="s">
        <v>352</v>
      </c>
      <c r="M42" s="34" t="n">
        <v>0.00459916071183022</v>
      </c>
      <c r="N42" s="34" t="n">
        <v>0.0218328213580925</v>
      </c>
      <c r="O42" s="34" t="n">
        <v>0.210653521887839</v>
      </c>
      <c r="P42" s="34" t="n">
        <v>0.833157644853166</v>
      </c>
    </row>
    <row r="43" customFormat="false" ht="13.8" hidden="false" customHeight="false" outlineLevel="0" collapsed="false">
      <c r="A43" s="0" t="s">
        <v>353</v>
      </c>
      <c r="C43" s="34" t="n">
        <v>0.323406625546912</v>
      </c>
      <c r="D43" s="34" t="n">
        <v>0.00528016674930355</v>
      </c>
      <c r="E43" s="34" t="n">
        <v>61.2493205048058</v>
      </c>
      <c r="F43" s="34" t="n">
        <v>0</v>
      </c>
      <c r="G43" s="0" t="s">
        <v>353</v>
      </c>
      <c r="H43" s="34" t="n">
        <v>0.285234782324607</v>
      </c>
      <c r="I43" s="34" t="n">
        <v>0.00797345740160874</v>
      </c>
      <c r="J43" s="34" t="n">
        <v>35.7730364580687</v>
      </c>
      <c r="K43" s="34" t="n">
        <v>2.9008146931882E-280</v>
      </c>
      <c r="L43" s="0" t="s">
        <v>353</v>
      </c>
      <c r="M43" s="34" t="n">
        <v>0.283715571759965</v>
      </c>
      <c r="N43" s="34" t="n">
        <v>0.00921279545994772</v>
      </c>
      <c r="O43" s="34" t="n">
        <v>30.7958179461823</v>
      </c>
      <c r="P43" s="34" t="n">
        <v>2.98105105492127E-208</v>
      </c>
    </row>
    <row r="44" customFormat="false" ht="13.8" hidden="false" customHeight="false" outlineLevel="0" collapsed="false">
      <c r="A44" s="0" t="s">
        <v>354</v>
      </c>
      <c r="C44" s="34" t="n">
        <v>1.27576090642446</v>
      </c>
      <c r="D44" s="34" t="n">
        <v>0.00496105347358605</v>
      </c>
      <c r="E44" s="34" t="n">
        <v>257.155241969664</v>
      </c>
      <c r="F44" s="34" t="n">
        <v>0</v>
      </c>
      <c r="G44" s="0" t="s">
        <v>354</v>
      </c>
      <c r="H44" s="34" t="n">
        <v>1.66272705013134</v>
      </c>
      <c r="I44" s="34" t="n">
        <v>0.00916666426315761</v>
      </c>
      <c r="J44" s="34" t="n">
        <v>181.388453029105</v>
      </c>
      <c r="K44" s="34" t="n">
        <v>0</v>
      </c>
      <c r="L44" s="0" t="s">
        <v>354</v>
      </c>
      <c r="M44" s="34" t="n">
        <v>1.90606721434155</v>
      </c>
      <c r="N44" s="34" t="n">
        <v>0.0111363812414141</v>
      </c>
      <c r="O44" s="34" t="n">
        <v>171.156785406488</v>
      </c>
      <c r="P44" s="34" t="n">
        <v>0</v>
      </c>
    </row>
    <row r="45" customFormat="false" ht="13.8" hidden="false" customHeight="false" outlineLevel="0" collapsed="false">
      <c r="A45" s="0" t="s">
        <v>355</v>
      </c>
      <c r="C45" s="34" t="n">
        <v>-0.0427792333119993</v>
      </c>
      <c r="D45" s="34" t="n">
        <v>0.00531298428151949</v>
      </c>
      <c r="E45" s="34" t="n">
        <v>-8.05182756907471</v>
      </c>
      <c r="F45" s="34" t="n">
        <v>8.15667700485457E-016</v>
      </c>
      <c r="G45" s="0" t="s">
        <v>355</v>
      </c>
      <c r="H45" s="34" t="n">
        <v>-0.0397164691581055</v>
      </c>
      <c r="I45" s="34" t="n">
        <v>0.00834153838784734</v>
      </c>
      <c r="J45" s="34" t="n">
        <v>-4.76128830336234</v>
      </c>
      <c r="K45" s="34" t="n">
        <v>1.92361012790455E-006</v>
      </c>
      <c r="L45" s="0" t="s">
        <v>355</v>
      </c>
      <c r="M45" s="34" t="n">
        <v>-0.0240990711677032</v>
      </c>
      <c r="N45" s="34" t="n">
        <v>0.00968136904077841</v>
      </c>
      <c r="O45" s="34" t="n">
        <v>-2.48922141756984</v>
      </c>
      <c r="P45" s="34" t="n">
        <v>0.0128023206872193</v>
      </c>
    </row>
    <row r="46" customFormat="false" ht="13.8" hidden="false" customHeight="false" outlineLevel="0" collapsed="false">
      <c r="A46" s="0" t="s">
        <v>356</v>
      </c>
      <c r="C46" s="34" t="n">
        <v>-0.0492221846212686</v>
      </c>
      <c r="D46" s="34" t="n">
        <v>0.013332242253191</v>
      </c>
      <c r="E46" s="34" t="n">
        <v>-3.69196596390135</v>
      </c>
      <c r="F46" s="34" t="n">
        <v>0.00022252725032733</v>
      </c>
      <c r="G46" s="0" t="s">
        <v>356</v>
      </c>
      <c r="H46" s="34" t="n">
        <v>-0.0985866601264526</v>
      </c>
      <c r="I46" s="34" t="n">
        <v>0.0206313460218502</v>
      </c>
      <c r="J46" s="34" t="n">
        <v>-4.77848900513042</v>
      </c>
      <c r="K46" s="34" t="n">
        <v>1.76617418986469E-006</v>
      </c>
      <c r="L46" s="0" t="s">
        <v>356</v>
      </c>
      <c r="M46" s="34" t="n">
        <v>-0.0749371091195851</v>
      </c>
      <c r="N46" s="34" t="n">
        <v>0.0232780892077011</v>
      </c>
      <c r="O46" s="34" t="n">
        <v>-3.21921221501263</v>
      </c>
      <c r="P46" s="34" t="n">
        <v>0.00128543316021174</v>
      </c>
    </row>
    <row r="47" customFormat="false" ht="13.8" hidden="false" customHeight="false" outlineLevel="0" collapsed="false">
      <c r="A47" s="0" t="s">
        <v>357</v>
      </c>
      <c r="C47" s="34" t="n">
        <v>-0.388896127560486</v>
      </c>
      <c r="D47" s="34" t="n">
        <v>0.0330639273970348</v>
      </c>
      <c r="E47" s="34" t="n">
        <v>-11.7619459688072</v>
      </c>
      <c r="F47" s="34" t="n">
        <v>6.13048297302227E-032</v>
      </c>
      <c r="G47" s="0" t="s">
        <v>357</v>
      </c>
      <c r="H47" s="34" t="n">
        <v>-0.349301539098841</v>
      </c>
      <c r="I47" s="34" t="n">
        <v>0.0473554513956045</v>
      </c>
      <c r="J47" s="34" t="n">
        <v>-7.37616322523879</v>
      </c>
      <c r="K47" s="34" t="n">
        <v>1.62916263145104E-013</v>
      </c>
      <c r="L47" s="0" t="s">
        <v>357</v>
      </c>
      <c r="M47" s="34" t="n">
        <v>-0.309456415193942</v>
      </c>
      <c r="N47" s="34" t="n">
        <v>0.050586077229761</v>
      </c>
      <c r="O47" s="34" t="n">
        <v>-6.11742266134606</v>
      </c>
      <c r="P47" s="34" t="n">
        <v>9.51008886263152E-010</v>
      </c>
    </row>
    <row r="48" customFormat="false" ht="13.8" hidden="false" customHeight="false" outlineLevel="0" collapsed="false">
      <c r="A48" s="0" t="s">
        <v>358</v>
      </c>
      <c r="C48" s="34" t="n">
        <v>0.100899844505482</v>
      </c>
      <c r="D48" s="34" t="n">
        <v>0.0052098321560771</v>
      </c>
      <c r="E48" s="34" t="n">
        <v>19.3671967700121</v>
      </c>
      <c r="F48" s="34" t="n">
        <v>1.459927469611E-083</v>
      </c>
      <c r="G48" s="0" t="s">
        <v>358</v>
      </c>
      <c r="H48" s="34" t="n">
        <v>0.129800159660859</v>
      </c>
      <c r="I48" s="34" t="n">
        <v>0.00803312136963465</v>
      </c>
      <c r="J48" s="34" t="n">
        <v>16.1581225638524</v>
      </c>
      <c r="K48" s="34" t="n">
        <v>9.95474877288177E-059</v>
      </c>
      <c r="L48" s="0" t="s">
        <v>358</v>
      </c>
      <c r="M48" s="34" t="n">
        <v>0.129350516922746</v>
      </c>
      <c r="N48" s="34" t="n">
        <v>0.0093481094154562</v>
      </c>
      <c r="O48" s="34" t="n">
        <v>13.8370777634328</v>
      </c>
      <c r="P48" s="34" t="n">
        <v>1.52272113479448E-043</v>
      </c>
    </row>
    <row r="49" customFormat="false" ht="13.8" hidden="false" customHeight="false" outlineLevel="0" collapsed="false">
      <c r="A49" s="0" t="s">
        <v>359</v>
      </c>
      <c r="C49" s="34" t="n">
        <v>0.26609584825779</v>
      </c>
      <c r="D49" s="34" t="n">
        <v>0.00810568121811633</v>
      </c>
      <c r="E49" s="34" t="n">
        <v>32.8283140056213</v>
      </c>
      <c r="F49" s="34" t="n">
        <v>2.32326432269845E-236</v>
      </c>
      <c r="G49" s="0" t="s">
        <v>359</v>
      </c>
      <c r="H49" s="34" t="n">
        <v>0.334668573205165</v>
      </c>
      <c r="I49" s="34" t="n">
        <v>0.0132207580039385</v>
      </c>
      <c r="J49" s="34" t="n">
        <v>25.3138717995947</v>
      </c>
      <c r="K49" s="34" t="n">
        <v>2.24733922990102E-141</v>
      </c>
      <c r="L49" s="0" t="s">
        <v>359</v>
      </c>
      <c r="M49" s="34" t="n">
        <v>0.357784567224965</v>
      </c>
      <c r="N49" s="34" t="n">
        <v>0.0150720598976639</v>
      </c>
      <c r="O49" s="34" t="n">
        <v>23.7382660136866</v>
      </c>
      <c r="P49" s="34" t="n">
        <v>1.45247407819861E-124</v>
      </c>
    </row>
    <row r="50" customFormat="false" ht="13.8" hidden="false" customHeight="false" outlineLevel="0" collapsed="false">
      <c r="A50" s="0" t="s">
        <v>360</v>
      </c>
      <c r="C50" s="34" t="n">
        <v>2.15707215886501</v>
      </c>
      <c r="D50" s="34" t="n">
        <v>0.00472534852119518</v>
      </c>
      <c r="E50" s="34" t="n">
        <v>456.489537055231</v>
      </c>
      <c r="F50" s="34" t="n">
        <v>0</v>
      </c>
      <c r="G50" s="0" t="s">
        <v>360</v>
      </c>
      <c r="H50" s="34" t="n">
        <v>2.2235132619168</v>
      </c>
      <c r="I50" s="34" t="n">
        <v>0.00711115372293655</v>
      </c>
      <c r="J50" s="34" t="n">
        <v>312.679678790378</v>
      </c>
      <c r="K50" s="34" t="n">
        <v>0</v>
      </c>
      <c r="L50" s="0" t="s">
        <v>360</v>
      </c>
      <c r="M50" s="34" t="n">
        <v>2.16713671548748</v>
      </c>
      <c r="N50" s="34" t="n">
        <v>0.00833924075251383</v>
      </c>
      <c r="O50" s="34" t="n">
        <v>259.872184986889</v>
      </c>
      <c r="P50" s="34" t="n">
        <v>0</v>
      </c>
    </row>
    <row r="51" customFormat="false" ht="13.8" hidden="false" customHeight="false" outlineLevel="0" collapsed="false">
      <c r="A51" s="0" t="s">
        <v>361</v>
      </c>
      <c r="C51" s="34" t="n">
        <v>-1.48633111820789</v>
      </c>
      <c r="D51" s="34" t="n">
        <v>0.0200033139225345</v>
      </c>
      <c r="E51" s="34" t="n">
        <v>-74.3042439849669</v>
      </c>
      <c r="F51" s="34" t="n">
        <v>0</v>
      </c>
      <c r="G51" s="0" t="s">
        <v>361</v>
      </c>
      <c r="H51" s="34" t="n">
        <v>-1.61512989205874</v>
      </c>
      <c r="I51" s="34" t="n">
        <v>0.0370283901994999</v>
      </c>
      <c r="J51" s="34" t="n">
        <v>-43.6186905063064</v>
      </c>
      <c r="K51" s="34" t="n">
        <v>0</v>
      </c>
      <c r="L51" s="0" t="s">
        <v>361</v>
      </c>
      <c r="M51" s="34" t="n">
        <v>-1.64865056391156</v>
      </c>
      <c r="N51" s="34" t="n">
        <v>0.0435184059667658</v>
      </c>
      <c r="O51" s="34" t="n">
        <v>-37.8839832775724</v>
      </c>
      <c r="P51" s="34" t="n">
        <v>0</v>
      </c>
    </row>
    <row r="52" customFormat="false" ht="13.8" hidden="false" customHeight="false" outlineLevel="0" collapsed="false">
      <c r="A52" s="0" t="s">
        <v>362</v>
      </c>
      <c r="C52" s="34" t="n">
        <v>-0.582029076804776</v>
      </c>
      <c r="D52" s="34" t="n">
        <v>0.0259540592438399</v>
      </c>
      <c r="E52" s="34" t="n">
        <v>-22.4253582584743</v>
      </c>
      <c r="F52" s="34" t="n">
        <v>2.22695768035512E-111</v>
      </c>
      <c r="G52" s="0" t="s">
        <v>362</v>
      </c>
      <c r="H52" s="34" t="n">
        <v>-0.82082739335146</v>
      </c>
      <c r="I52" s="34" t="n">
        <v>0.0522974035470543</v>
      </c>
      <c r="J52" s="34" t="n">
        <v>-15.6953756339533</v>
      </c>
      <c r="K52" s="34" t="n">
        <v>1.62676850775009E-055</v>
      </c>
      <c r="L52" s="0" t="s">
        <v>362</v>
      </c>
      <c r="M52" s="34" t="n">
        <v>-0.89357840313359</v>
      </c>
      <c r="N52" s="34" t="n">
        <v>0.0641182958360658</v>
      </c>
      <c r="O52" s="34" t="n">
        <v>-13.9364028859757</v>
      </c>
      <c r="P52" s="34" t="n">
        <v>3.80646770037882E-044</v>
      </c>
    </row>
    <row r="53" customFormat="false" ht="13.8" hidden="false" customHeight="false" outlineLevel="0" collapsed="false">
      <c r="A53" s="0" t="s">
        <v>363</v>
      </c>
      <c r="C53" s="34" t="n">
        <v>1.0474406594574</v>
      </c>
      <c r="D53" s="34" t="n">
        <v>0.0116340362319114</v>
      </c>
      <c r="E53" s="34" t="n">
        <v>90.0324391791333</v>
      </c>
      <c r="F53" s="34" t="n">
        <v>0</v>
      </c>
      <c r="G53" s="0" t="s">
        <v>363</v>
      </c>
      <c r="H53" s="34" t="n">
        <v>1.62162939938768</v>
      </c>
      <c r="I53" s="34" t="n">
        <v>0.0141283427472212</v>
      </c>
      <c r="J53" s="34" t="n">
        <v>114.778458337346</v>
      </c>
      <c r="K53" s="34" t="n">
        <v>0</v>
      </c>
      <c r="L53" s="0" t="s">
        <v>363</v>
      </c>
      <c r="M53" s="34" t="n">
        <v>1.79374622608911</v>
      </c>
      <c r="N53" s="34" t="n">
        <v>0.014880957920199</v>
      </c>
      <c r="O53" s="34" t="n">
        <v>120.539701523806</v>
      </c>
      <c r="P53" s="34" t="n">
        <v>0</v>
      </c>
    </row>
    <row r="54" customFormat="false" ht="13.8" hidden="false" customHeight="false" outlineLevel="0" collapsed="false">
      <c r="A54" s="0" t="s">
        <v>364</v>
      </c>
      <c r="C54" s="34" t="n">
        <v>0.546834182963001</v>
      </c>
      <c r="D54" s="34" t="n">
        <v>0.00480573027711487</v>
      </c>
      <c r="E54" s="34" t="n">
        <v>113.787947186103</v>
      </c>
      <c r="F54" s="34" t="n">
        <v>0</v>
      </c>
      <c r="G54" s="0" t="s">
        <v>364</v>
      </c>
      <c r="H54" s="34" t="n">
        <v>0.683284307533211</v>
      </c>
      <c r="I54" s="34" t="n">
        <v>0.00719372077694765</v>
      </c>
      <c r="J54" s="34" t="n">
        <v>94.9834346813685</v>
      </c>
      <c r="K54" s="34" t="n">
        <v>0</v>
      </c>
      <c r="L54" s="0" t="s">
        <v>364</v>
      </c>
      <c r="M54" s="34" t="n">
        <v>0.861823133965112</v>
      </c>
      <c r="N54" s="34" t="n">
        <v>0.00821342956915215</v>
      </c>
      <c r="O54" s="34" t="n">
        <v>104.928535237209</v>
      </c>
      <c r="P54" s="34" t="n">
        <v>0</v>
      </c>
    </row>
    <row r="55" customFormat="false" ht="13.8" hidden="false" customHeight="false" outlineLevel="0" collapsed="false">
      <c r="A55" s="0" t="s">
        <v>365</v>
      </c>
      <c r="C55" s="34" t="n">
        <v>-0.0534588772966469</v>
      </c>
      <c r="D55" s="34" t="n">
        <v>0.00697336480124249</v>
      </c>
      <c r="E55" s="34" t="n">
        <v>-7.66615239849804</v>
      </c>
      <c r="F55" s="34" t="n">
        <v>1.772325923953E-014</v>
      </c>
      <c r="G55" s="0" t="s">
        <v>365</v>
      </c>
      <c r="H55" s="34" t="n">
        <v>0.179297523064214</v>
      </c>
      <c r="I55" s="34" t="n">
        <v>0.0105723248409064</v>
      </c>
      <c r="J55" s="34" t="n">
        <v>16.9591386721752</v>
      </c>
      <c r="K55" s="34" t="n">
        <v>1.64741652624025E-064</v>
      </c>
      <c r="L55" s="0" t="s">
        <v>365</v>
      </c>
      <c r="M55" s="34" t="n">
        <v>0.323419773524486</v>
      </c>
      <c r="N55" s="34" t="n">
        <v>0.0119040434035278</v>
      </c>
      <c r="O55" s="34" t="n">
        <v>27.1689007307081</v>
      </c>
      <c r="P55" s="34" t="n">
        <v>1.51435121963085E-162</v>
      </c>
    </row>
    <row r="56" customFormat="false" ht="13.8" hidden="false" customHeight="false" outlineLevel="0" collapsed="false">
      <c r="A56" s="0" t="s">
        <v>366</v>
      </c>
      <c r="C56" s="34" t="n">
        <v>0.211740465367367</v>
      </c>
      <c r="D56" s="34" t="n">
        <v>0.00996336388828333</v>
      </c>
      <c r="E56" s="34" t="n">
        <v>21.2519052542454</v>
      </c>
      <c r="F56" s="34" t="n">
        <v>3.16556298157802E-100</v>
      </c>
      <c r="G56" s="0" t="s">
        <v>366</v>
      </c>
      <c r="H56" s="34" t="n">
        <v>0.445591709748996</v>
      </c>
      <c r="I56" s="34" t="n">
        <v>0.0144510503402949</v>
      </c>
      <c r="J56" s="34" t="n">
        <v>30.8345552230566</v>
      </c>
      <c r="K56" s="34" t="n">
        <v>9.02420281321804E-209</v>
      </c>
      <c r="L56" s="0" t="s">
        <v>366</v>
      </c>
      <c r="M56" s="34" t="n">
        <v>0.597911149814016</v>
      </c>
      <c r="N56" s="34" t="n">
        <v>0.0159187441600582</v>
      </c>
      <c r="O56" s="34" t="n">
        <v>37.5601959427327</v>
      </c>
      <c r="P56" s="34" t="n">
        <v>0</v>
      </c>
    </row>
    <row r="57" customFormat="false" ht="13.8" hidden="false" customHeight="false" outlineLevel="0" collapsed="false">
      <c r="A57" s="0" t="s">
        <v>367</v>
      </c>
      <c r="C57" s="34" t="n">
        <v>-0.0784766697590689</v>
      </c>
      <c r="D57" s="34" t="n">
        <v>0.0121285795678192</v>
      </c>
      <c r="E57" s="34" t="n">
        <v>-6.47039245776902</v>
      </c>
      <c r="F57" s="34" t="n">
        <v>9.77487014339031E-011</v>
      </c>
      <c r="G57" s="0" t="s">
        <v>367</v>
      </c>
      <c r="H57" s="34" t="n">
        <v>0.00328702517331572</v>
      </c>
      <c r="I57" s="34" t="n">
        <v>0.0184221166244971</v>
      </c>
      <c r="J57" s="34" t="n">
        <v>0.178428203464131</v>
      </c>
      <c r="K57" s="34" t="n">
        <v>0.858386701515198</v>
      </c>
      <c r="L57" s="0" t="s">
        <v>367</v>
      </c>
      <c r="M57" s="34" t="n">
        <v>0.0387540071347625</v>
      </c>
      <c r="N57" s="34" t="n">
        <v>0.0206444600434977</v>
      </c>
      <c r="O57" s="34" t="n">
        <v>1.87721098314551</v>
      </c>
      <c r="P57" s="34" t="n">
        <v>0.0604891827980436</v>
      </c>
    </row>
    <row r="58" customFormat="false" ht="13.8" hidden="false" customHeight="false" outlineLevel="0" collapsed="false">
      <c r="A58" s="0" t="s">
        <v>368</v>
      </c>
      <c r="C58" s="34" t="n">
        <v>-0.382935299152087</v>
      </c>
      <c r="D58" s="34" t="n">
        <v>0.00525997525249242</v>
      </c>
      <c r="E58" s="34" t="n">
        <v>-72.8017301926723</v>
      </c>
      <c r="F58" s="34" t="n">
        <v>0</v>
      </c>
      <c r="G58" s="0" t="s">
        <v>368</v>
      </c>
      <c r="H58" s="34" t="n">
        <v>-0.444718152241496</v>
      </c>
      <c r="I58" s="34" t="n">
        <v>0.0086552064557684</v>
      </c>
      <c r="J58" s="34" t="n">
        <v>-51.381576455072</v>
      </c>
      <c r="K58" s="34" t="n">
        <v>0</v>
      </c>
      <c r="L58" s="0" t="s">
        <v>368</v>
      </c>
      <c r="M58" s="34" t="n">
        <v>-0.565100667797306</v>
      </c>
      <c r="N58" s="34" t="n">
        <v>0.0104259277987285</v>
      </c>
      <c r="O58" s="34" t="n">
        <v>-54.201475274577</v>
      </c>
      <c r="P58" s="34" t="n">
        <v>0</v>
      </c>
    </row>
    <row r="59" customFormat="false" ht="13.8" hidden="false" customHeight="false" outlineLevel="0" collapsed="false">
      <c r="A59" s="0" t="s">
        <v>369</v>
      </c>
      <c r="C59" s="34" t="n">
        <v>-0.0126406909851885</v>
      </c>
      <c r="D59" s="34" t="n">
        <v>0.00551005232650319</v>
      </c>
      <c r="E59" s="34" t="n">
        <v>-2.29411450856594</v>
      </c>
      <c r="F59" s="34" t="n">
        <v>0.0217839221996409</v>
      </c>
      <c r="G59" s="0" t="s">
        <v>369</v>
      </c>
      <c r="H59" s="34" t="n">
        <v>-0.0214177129857129</v>
      </c>
      <c r="I59" s="34" t="n">
        <v>0.00856177962083679</v>
      </c>
      <c r="J59" s="34" t="n">
        <v>-2.50154920287701</v>
      </c>
      <c r="K59" s="34" t="n">
        <v>0.0123651259215591</v>
      </c>
      <c r="L59" s="0" t="s">
        <v>369</v>
      </c>
      <c r="M59" s="34" t="n">
        <v>-0.0240796833999197</v>
      </c>
      <c r="N59" s="34" t="n">
        <v>0.0100401376260456</v>
      </c>
      <c r="O59" s="34" t="n">
        <v>-2.39834196470111</v>
      </c>
      <c r="P59" s="34" t="n">
        <v>0.0164694816092173</v>
      </c>
    </row>
    <row r="60" customFormat="false" ht="13.8" hidden="false" customHeight="false" outlineLevel="0" collapsed="false">
      <c r="A60" s="0" t="s">
        <v>370</v>
      </c>
      <c r="C60" s="34" t="n">
        <v>-0.163638782147052</v>
      </c>
      <c r="D60" s="34" t="n">
        <v>0.00568559871039571</v>
      </c>
      <c r="E60" s="34" t="n">
        <v>-28.7812753734888</v>
      </c>
      <c r="F60" s="34" t="n">
        <v>3.67980924335976E-182</v>
      </c>
      <c r="G60" s="0" t="s">
        <v>370</v>
      </c>
      <c r="H60" s="34" t="n">
        <v>-0.201931758199275</v>
      </c>
      <c r="I60" s="34" t="n">
        <v>0.00898269210127439</v>
      </c>
      <c r="J60" s="34" t="n">
        <v>-22.4800934867429</v>
      </c>
      <c r="K60" s="34" t="n">
        <v>6.5002340185113E-112</v>
      </c>
      <c r="L60" s="0" t="s">
        <v>370</v>
      </c>
      <c r="M60" s="34" t="n">
        <v>-0.200735048195872</v>
      </c>
      <c r="N60" s="34" t="n">
        <v>0.010501313399939</v>
      </c>
      <c r="O60" s="34" t="n">
        <v>-19.1152325952903</v>
      </c>
      <c r="P60" s="34" t="n">
        <v>1.88577475988311E-081</v>
      </c>
    </row>
    <row r="61" customFormat="false" ht="13.8" hidden="false" customHeight="false" outlineLevel="0" collapsed="false">
      <c r="A61" s="0" t="s">
        <v>371</v>
      </c>
      <c r="C61" s="34" t="n">
        <v>-0.0807172844901201</v>
      </c>
      <c r="D61" s="34" t="n">
        <v>0.0159553302047183</v>
      </c>
      <c r="E61" s="34" t="n">
        <v>-5.05895418361511</v>
      </c>
      <c r="F61" s="34" t="n">
        <v>4.21562130994148E-007</v>
      </c>
      <c r="G61" s="0" t="s">
        <v>371</v>
      </c>
      <c r="H61" s="34" t="n">
        <v>-0.0979681554237721</v>
      </c>
      <c r="I61" s="34" t="n">
        <v>0.0240090032443403</v>
      </c>
      <c r="J61" s="34" t="n">
        <v>-4.08047574598359</v>
      </c>
      <c r="K61" s="34" t="n">
        <v>4.49436189517054E-005</v>
      </c>
      <c r="L61" s="0" t="s">
        <v>371</v>
      </c>
      <c r="M61" s="34" t="n">
        <v>-0.0518735097113437</v>
      </c>
      <c r="N61" s="34" t="n">
        <v>0.0265512965002512</v>
      </c>
      <c r="O61" s="34" t="n">
        <v>-1.95370910459506</v>
      </c>
      <c r="P61" s="34" t="n">
        <v>0.0507356289573387</v>
      </c>
    </row>
    <row r="62" customFormat="false" ht="13.8" hidden="false" customHeight="false" outlineLevel="0" collapsed="false">
      <c r="A62" s="0" t="s">
        <v>372</v>
      </c>
      <c r="C62" s="34" t="n">
        <v>-0.810650467687847</v>
      </c>
      <c r="D62" s="34" t="n">
        <v>0.00552003722346677</v>
      </c>
      <c r="E62" s="34" t="n">
        <v>-146.855978478118</v>
      </c>
      <c r="F62" s="34" t="n">
        <v>0</v>
      </c>
      <c r="G62" s="0" t="s">
        <v>372</v>
      </c>
      <c r="H62" s="34" t="n">
        <v>-0.781091193652055</v>
      </c>
      <c r="I62" s="34" t="n">
        <v>0.00917223658171451</v>
      </c>
      <c r="J62" s="34" t="n">
        <v>-85.1582039662185</v>
      </c>
      <c r="K62" s="34" t="n">
        <v>0</v>
      </c>
      <c r="L62" s="0" t="s">
        <v>372</v>
      </c>
      <c r="M62" s="34" t="n">
        <v>-0.642478255436412</v>
      </c>
      <c r="N62" s="34" t="n">
        <v>0.0107088770513049</v>
      </c>
      <c r="O62" s="34" t="n">
        <v>-59.9949231239071</v>
      </c>
      <c r="P62" s="34" t="n">
        <v>0</v>
      </c>
    </row>
    <row r="63" customFormat="false" ht="13.8" hidden="false" customHeight="false" outlineLevel="0" collapsed="false">
      <c r="A63" s="0" t="s">
        <v>373</v>
      </c>
      <c r="C63" s="34" t="n">
        <v>-0.651385780125165</v>
      </c>
      <c r="D63" s="34" t="n">
        <v>0.00596822260801373</v>
      </c>
      <c r="E63" s="34" t="n">
        <v>-109.142339840094</v>
      </c>
      <c r="F63" s="34" t="n">
        <v>0</v>
      </c>
      <c r="G63" s="0" t="s">
        <v>373</v>
      </c>
      <c r="H63" s="34" t="n">
        <v>-0.324661025441683</v>
      </c>
      <c r="I63" s="34" t="n">
        <v>0.00924234414437427</v>
      </c>
      <c r="J63" s="34" t="n">
        <v>-35.1275629180397</v>
      </c>
      <c r="K63" s="34" t="n">
        <v>2.55883125090861E-270</v>
      </c>
      <c r="L63" s="0" t="s">
        <v>373</v>
      </c>
      <c r="M63" s="34" t="n">
        <v>-0.173118269091332</v>
      </c>
      <c r="N63" s="34" t="n">
        <v>0.0107542642404732</v>
      </c>
      <c r="O63" s="34" t="n">
        <v>-16.0976395242186</v>
      </c>
      <c r="P63" s="34" t="n">
        <v>2.6502389346851E-058</v>
      </c>
    </row>
    <row r="64" customFormat="false" ht="13.8" hidden="false" customHeight="false" outlineLevel="0" collapsed="false">
      <c r="A64" s="0" t="s">
        <v>374</v>
      </c>
      <c r="C64" s="34" t="n">
        <v>-0.699650024163754</v>
      </c>
      <c r="D64" s="34" t="n">
        <v>0.00727125212269413</v>
      </c>
      <c r="E64" s="34" t="n">
        <v>-96.2213952092368</v>
      </c>
      <c r="F64" s="34" t="n">
        <v>0</v>
      </c>
      <c r="G64" s="0" t="s">
        <v>374</v>
      </c>
      <c r="H64" s="34" t="n">
        <v>-0.357051396513559</v>
      </c>
      <c r="I64" s="34" t="n">
        <v>0.0112290148202741</v>
      </c>
      <c r="J64" s="34" t="n">
        <v>-31.7972148250173</v>
      </c>
      <c r="K64" s="34" t="n">
        <v>7.07309855276507E-222</v>
      </c>
      <c r="L64" s="0" t="s">
        <v>374</v>
      </c>
      <c r="M64" s="34" t="n">
        <v>-0.211403080576918</v>
      </c>
      <c r="N64" s="34" t="n">
        <v>0.0129848606035401</v>
      </c>
      <c r="O64" s="34" t="n">
        <v>-16.2807354681406</v>
      </c>
      <c r="P64" s="34" t="n">
        <v>1.35233827173962E-059</v>
      </c>
    </row>
    <row r="65" customFormat="false" ht="13.8" hidden="false" customHeight="false" outlineLevel="0" collapsed="false">
      <c r="A65" s="0" t="s">
        <v>375</v>
      </c>
      <c r="C65" s="34" t="n">
        <v>-0.327827837954259</v>
      </c>
      <c r="D65" s="34" t="n">
        <v>0.00634740483170179</v>
      </c>
      <c r="E65" s="34" t="n">
        <v>-51.6475388991954</v>
      </c>
      <c r="F65" s="34" t="n">
        <v>0</v>
      </c>
      <c r="G65" s="0" t="s">
        <v>375</v>
      </c>
      <c r="H65" s="34" t="n">
        <v>0.00360889237674716</v>
      </c>
      <c r="I65" s="34" t="n">
        <v>0.00997989355052166</v>
      </c>
      <c r="J65" s="34" t="n">
        <v>0.361616319700977</v>
      </c>
      <c r="K65" s="34" t="n">
        <v>0.71763876752764</v>
      </c>
      <c r="L65" s="0" t="s">
        <v>375</v>
      </c>
      <c r="M65" s="34" t="n">
        <v>0.116081867340933</v>
      </c>
      <c r="N65" s="34" t="n">
        <v>0.011732580421626</v>
      </c>
      <c r="O65" s="34" t="n">
        <v>9.89397584924846</v>
      </c>
      <c r="P65" s="34" t="n">
        <v>4.42112334293705E-023</v>
      </c>
    </row>
    <row r="66" customFormat="false" ht="13.8" hidden="false" customHeight="false" outlineLevel="0" collapsed="false">
      <c r="A66" s="0" t="s">
        <v>376</v>
      </c>
      <c r="C66" s="34" t="n">
        <v>-0.00325472680426997</v>
      </c>
      <c r="D66" s="34" t="n">
        <v>7.92921085654699E-005</v>
      </c>
      <c r="E66" s="34" t="n">
        <v>-41.0472979361194</v>
      </c>
      <c r="F66" s="34" t="n">
        <v>0</v>
      </c>
      <c r="G66" s="0" t="s">
        <v>376</v>
      </c>
      <c r="H66" s="34" t="n">
        <v>-0.0031553609421633</v>
      </c>
      <c r="I66" s="34" t="n">
        <v>0.000128374451201865</v>
      </c>
      <c r="J66" s="34" t="n">
        <v>-24.5793529212567</v>
      </c>
      <c r="K66" s="34" t="n">
        <v>2.1005007835478E-133</v>
      </c>
      <c r="L66" s="0" t="s">
        <v>376</v>
      </c>
      <c r="M66" s="34" t="n">
        <v>-0.00311877680920114</v>
      </c>
      <c r="N66" s="34" t="n">
        <v>0.000151691778119463</v>
      </c>
      <c r="O66" s="34" t="n">
        <v>-20.5599594642828</v>
      </c>
      <c r="P66" s="34" t="n">
        <v>6.26854008713384E-094</v>
      </c>
    </row>
    <row r="67" customFormat="false" ht="13.8" hidden="false" customHeight="false" outlineLevel="0" collapsed="false">
      <c r="A67" s="0" t="s">
        <v>377</v>
      </c>
      <c r="C67" s="34" t="n">
        <v>-0.0433337917357665</v>
      </c>
      <c r="D67" s="34" t="n">
        <v>0.000535860252540035</v>
      </c>
      <c r="E67" s="34" t="n">
        <v>-80.8677104345017</v>
      </c>
      <c r="F67" s="34" t="n">
        <v>0</v>
      </c>
      <c r="G67" s="0" t="s">
        <v>377</v>
      </c>
      <c r="H67" s="34" t="n">
        <v>-0.052546701690469</v>
      </c>
      <c r="I67" s="34" t="n">
        <v>0.000909402527375566</v>
      </c>
      <c r="J67" s="34" t="n">
        <v>-57.7815654879616</v>
      </c>
      <c r="K67" s="34" t="n">
        <v>0</v>
      </c>
      <c r="L67" s="0" t="s">
        <v>377</v>
      </c>
      <c r="M67" s="34" t="n">
        <v>-0.0502174284950755</v>
      </c>
      <c r="N67" s="34" t="n">
        <v>0.00108616007997607</v>
      </c>
      <c r="O67" s="34" t="n">
        <v>-46.2339110236698</v>
      </c>
      <c r="P67" s="34" t="n">
        <v>0</v>
      </c>
    </row>
    <row r="68" customFormat="false" ht="13.8" hidden="false" customHeight="false" outlineLevel="0" collapsed="false">
      <c r="A68" s="0" t="s">
        <v>378</v>
      </c>
      <c r="C68" s="34" t="n">
        <v>0.496214059071616</v>
      </c>
      <c r="D68" s="34" t="n">
        <v>0.0162879614149607</v>
      </c>
      <c r="E68" s="34" t="n">
        <v>30.4650807077574</v>
      </c>
      <c r="F68" s="34" t="n">
        <v>7.56355003648753E-204</v>
      </c>
      <c r="G68" s="0" t="s">
        <v>378</v>
      </c>
      <c r="H68" s="34" t="n">
        <v>0.393760957157751</v>
      </c>
      <c r="I68" s="34" t="n">
        <v>0.022435786564317</v>
      </c>
      <c r="J68" s="34" t="n">
        <v>17.550575105934</v>
      </c>
      <c r="K68" s="34" t="n">
        <v>5.88807720441674E-069</v>
      </c>
      <c r="L68" s="0" t="s">
        <v>378</v>
      </c>
      <c r="M68" s="34" t="n">
        <v>0.403818926347125</v>
      </c>
      <c r="N68" s="34" t="n">
        <v>0.0241774801201115</v>
      </c>
      <c r="O68" s="34" t="n">
        <v>16.7022751891839</v>
      </c>
      <c r="P68" s="34" t="n">
        <v>1.26160929045417E-062</v>
      </c>
    </row>
    <row r="69" customFormat="false" ht="13.8" hidden="false" customHeight="false" outlineLevel="0" collapsed="false">
      <c r="A69" s="0" t="s">
        <v>379</v>
      </c>
      <c r="C69" s="34" t="n">
        <v>0.0261698668047261</v>
      </c>
      <c r="D69" s="34" t="n">
        <v>0.0219229991330865</v>
      </c>
      <c r="E69" s="34" t="n">
        <v>1.1937174583577</v>
      </c>
      <c r="F69" s="34" t="n">
        <v>0.232588508917221</v>
      </c>
      <c r="G69" s="0" t="s">
        <v>379</v>
      </c>
      <c r="H69" s="34" t="n">
        <v>-0.0428277645530572</v>
      </c>
      <c r="I69" s="34" t="n">
        <v>0.0317674130635978</v>
      </c>
      <c r="J69" s="34" t="n">
        <v>-1.3481665777228</v>
      </c>
      <c r="K69" s="34" t="n">
        <v>0.177604811686</v>
      </c>
      <c r="L69" s="0" t="s">
        <v>379</v>
      </c>
      <c r="M69" s="34" t="n">
        <v>-0.101068229964182</v>
      </c>
      <c r="N69" s="34" t="n">
        <v>0.0359310335937564</v>
      </c>
      <c r="O69" s="34" t="n">
        <v>-2.81283948318549</v>
      </c>
      <c r="P69" s="34" t="n">
        <v>0.00491061575462106</v>
      </c>
    </row>
    <row r="70" customFormat="false" ht="13.8" hidden="false" customHeight="false" outlineLevel="0" collapsed="false">
      <c r="A70" s="0" t="s">
        <v>380</v>
      </c>
      <c r="C70" s="34" t="n">
        <v>0.335552688966692</v>
      </c>
      <c r="D70" s="34" t="n">
        <v>0.0148415302233348</v>
      </c>
      <c r="E70" s="34" t="n">
        <v>22.6090358552862</v>
      </c>
      <c r="F70" s="34" t="n">
        <v>3.53169008697593E-113</v>
      </c>
      <c r="G70" s="0" t="s">
        <v>380</v>
      </c>
      <c r="H70" s="34" t="n">
        <v>0.0690906858493447</v>
      </c>
      <c r="I70" s="34" t="n">
        <v>0.0214635258575175</v>
      </c>
      <c r="J70" s="34" t="n">
        <v>3.2189811826814</v>
      </c>
      <c r="K70" s="34" t="n">
        <v>0.00128646927149324</v>
      </c>
      <c r="L70" s="0" t="s">
        <v>380</v>
      </c>
      <c r="M70" s="34" t="n">
        <v>0.0195924430006945</v>
      </c>
      <c r="N70" s="34" t="n">
        <v>0.0234562858665701</v>
      </c>
      <c r="O70" s="34" t="n">
        <v>0.835274736680184</v>
      </c>
      <c r="P70" s="34" t="n">
        <v>0.403563038269116</v>
      </c>
    </row>
    <row r="71" customFormat="false" ht="13.8" hidden="false" customHeight="false" outlineLevel="0" collapsed="false">
      <c r="A71" s="0" t="s">
        <v>381</v>
      </c>
      <c r="C71" s="34" t="n">
        <v>-0.378318554556209</v>
      </c>
      <c r="D71" s="34" t="n">
        <v>0.0152405024597898</v>
      </c>
      <c r="E71" s="34" t="n">
        <v>-24.8232337191216</v>
      </c>
      <c r="F71" s="34" t="n">
        <v>5.03250948441766E-136</v>
      </c>
      <c r="G71" s="0" t="s">
        <v>381</v>
      </c>
      <c r="H71" s="34" t="n">
        <v>-0.499982892922425</v>
      </c>
      <c r="I71" s="34" t="n">
        <v>0.0222174087483837</v>
      </c>
      <c r="J71" s="34" t="n">
        <v>-22.5041047128774</v>
      </c>
      <c r="K71" s="34" t="n">
        <v>3.78373622241736E-112</v>
      </c>
      <c r="L71" s="0" t="s">
        <v>381</v>
      </c>
      <c r="M71" s="34" t="n">
        <v>-0.649709989627616</v>
      </c>
      <c r="N71" s="34" t="n">
        <v>0.0246822187055777</v>
      </c>
      <c r="O71" s="34" t="n">
        <v>-26.3229978381479</v>
      </c>
      <c r="P71" s="34" t="n">
        <v>1.04618911802445E-152</v>
      </c>
    </row>
    <row r="72" customFormat="false" ht="13.8" hidden="false" customHeight="false" outlineLevel="0" collapsed="false">
      <c r="A72" s="0" t="s">
        <v>382</v>
      </c>
      <c r="C72" s="34" t="n">
        <v>-0.19533422457479</v>
      </c>
      <c r="D72" s="34" t="n">
        <v>0.0163244168538097</v>
      </c>
      <c r="E72" s="34" t="n">
        <v>-11.9657704360327</v>
      </c>
      <c r="F72" s="34" t="n">
        <v>5.36968503622021E-033</v>
      </c>
      <c r="G72" s="0" t="s">
        <v>382</v>
      </c>
      <c r="H72" s="34" t="n">
        <v>-0.33372858837738</v>
      </c>
      <c r="I72" s="34" t="n">
        <v>0.0241690860832044</v>
      </c>
      <c r="J72" s="34" t="n">
        <v>-13.8080764505735</v>
      </c>
      <c r="K72" s="34" t="n">
        <v>2.27834326676121E-043</v>
      </c>
      <c r="L72" s="0" t="s">
        <v>382</v>
      </c>
      <c r="M72" s="34" t="n">
        <v>-0.453954113779258</v>
      </c>
      <c r="N72" s="34" t="n">
        <v>0.0270819960250193</v>
      </c>
      <c r="O72" s="34" t="n">
        <v>-16.7622103392925</v>
      </c>
      <c r="P72" s="34" t="n">
        <v>4.61156305196803E-063</v>
      </c>
    </row>
    <row r="73" customFormat="false" ht="13.8" hidden="false" customHeight="false" outlineLevel="0" collapsed="false">
      <c r="A73" s="0" t="s">
        <v>383</v>
      </c>
      <c r="C73" s="34" t="n">
        <v>-0.861162844411727</v>
      </c>
      <c r="D73" s="34" t="n">
        <v>0.015269117488838</v>
      </c>
      <c r="E73" s="34" t="n">
        <v>-56.3989926098382</v>
      </c>
      <c r="F73" s="34" t="n">
        <v>0</v>
      </c>
      <c r="G73" s="0" t="s">
        <v>383</v>
      </c>
      <c r="H73" s="34" t="n">
        <v>-0.999591623145903</v>
      </c>
      <c r="I73" s="34" t="n">
        <v>0.0223857556587011</v>
      </c>
      <c r="J73" s="34" t="n">
        <v>-44.6530212509209</v>
      </c>
      <c r="K73" s="34" t="n">
        <v>0</v>
      </c>
      <c r="L73" s="0" t="s">
        <v>383</v>
      </c>
      <c r="M73" s="34" t="n">
        <v>-1.14728536672155</v>
      </c>
      <c r="N73" s="34" t="n">
        <v>0.0248404531324581</v>
      </c>
      <c r="O73" s="34" t="n">
        <v>-46.1861690124499</v>
      </c>
      <c r="P73" s="34" t="n">
        <v>0</v>
      </c>
    </row>
    <row r="74" customFormat="false" ht="13.8" hidden="false" customHeight="false" outlineLevel="0" collapsed="false">
      <c r="A74" s="0" t="s">
        <v>384</v>
      </c>
      <c r="C74" s="34" t="n">
        <v>-0.290382413286647</v>
      </c>
      <c r="D74" s="34" t="n">
        <v>0.0157808909264406</v>
      </c>
      <c r="E74" s="34" t="n">
        <v>-18.400888431471</v>
      </c>
      <c r="F74" s="34" t="n">
        <v>1.29228534299767E-075</v>
      </c>
      <c r="G74" s="0" t="s">
        <v>384</v>
      </c>
      <c r="H74" s="34" t="n">
        <v>-0.304180401097875</v>
      </c>
      <c r="I74" s="34" t="n">
        <v>0.0227162570194725</v>
      </c>
      <c r="J74" s="34" t="n">
        <v>-13.3904278700989</v>
      </c>
      <c r="K74" s="34" t="n">
        <v>6.87833517954059E-041</v>
      </c>
      <c r="L74" s="0" t="s">
        <v>384</v>
      </c>
      <c r="M74" s="34" t="n">
        <v>-0.369292670488407</v>
      </c>
      <c r="N74" s="34" t="n">
        <v>0.024923736010662</v>
      </c>
      <c r="O74" s="34" t="n">
        <v>-14.8169066760469</v>
      </c>
      <c r="P74" s="34" t="n">
        <v>1.13910559138339E-049</v>
      </c>
    </row>
    <row r="75" customFormat="false" ht="13.8" hidden="false" customHeight="false" outlineLevel="0" collapsed="false">
      <c r="A75" s="0" t="s">
        <v>385</v>
      </c>
      <c r="C75" s="34" t="n">
        <v>-0.268120338736035</v>
      </c>
      <c r="D75" s="34" t="n">
        <v>0.0175702059620268</v>
      </c>
      <c r="E75" s="34" t="n">
        <v>-15.2599428438974</v>
      </c>
      <c r="F75" s="34" t="n">
        <v>1.41372100705735E-052</v>
      </c>
      <c r="G75" s="0" t="s">
        <v>385</v>
      </c>
      <c r="H75" s="34" t="n">
        <v>-0.380121228656529</v>
      </c>
      <c r="I75" s="34" t="n">
        <v>0.0254910535660066</v>
      </c>
      <c r="J75" s="34" t="n">
        <v>-14.9119465647915</v>
      </c>
      <c r="K75" s="34" t="n">
        <v>2.7559930517339E-050</v>
      </c>
      <c r="L75" s="0" t="s">
        <v>385</v>
      </c>
      <c r="M75" s="34" t="n">
        <v>-0.574616834813818</v>
      </c>
      <c r="N75" s="34" t="n">
        <v>0.0290170042631202</v>
      </c>
      <c r="O75" s="34" t="n">
        <v>-19.8027621874164</v>
      </c>
      <c r="P75" s="34" t="n">
        <v>2.81809517589319E-087</v>
      </c>
    </row>
    <row r="76" customFormat="false" ht="13.8" hidden="false" customHeight="false" outlineLevel="0" collapsed="false">
      <c r="A76" s="0" t="s">
        <v>386</v>
      </c>
      <c r="C76" s="34" t="n">
        <v>-0.228530191666339</v>
      </c>
      <c r="D76" s="34" t="n">
        <v>0.0158429734116153</v>
      </c>
      <c r="E76" s="34" t="n">
        <v>-14.4247033513792</v>
      </c>
      <c r="F76" s="34" t="n">
        <v>3.61822211495319E-047</v>
      </c>
      <c r="G76" s="0" t="s">
        <v>386</v>
      </c>
      <c r="H76" s="34" t="n">
        <v>-0.334393461969269</v>
      </c>
      <c r="I76" s="34" t="n">
        <v>0.0227311261725493</v>
      </c>
      <c r="J76" s="34" t="n">
        <v>-14.7108180840196</v>
      </c>
      <c r="K76" s="34" t="n">
        <v>5.49391992219007E-049</v>
      </c>
      <c r="L76" s="0" t="s">
        <v>386</v>
      </c>
      <c r="M76" s="34" t="n">
        <v>-0.504407512902803</v>
      </c>
      <c r="N76" s="34" t="n">
        <v>0.0255325372456014</v>
      </c>
      <c r="O76" s="34" t="n">
        <v>-19.755479373273</v>
      </c>
      <c r="P76" s="34" t="n">
        <v>7.19691278327168E-087</v>
      </c>
    </row>
    <row r="77" customFormat="false" ht="13.8" hidden="false" customHeight="false" outlineLevel="0" collapsed="false">
      <c r="A77" s="0" t="s">
        <v>387</v>
      </c>
      <c r="C77" s="34" t="n">
        <v>-0.472410008986051</v>
      </c>
      <c r="D77" s="34" t="n">
        <v>0.019966556451048</v>
      </c>
      <c r="E77" s="34" t="n">
        <v>-23.6600642751923</v>
      </c>
      <c r="F77" s="34" t="n">
        <v>9.29867951075181E-124</v>
      </c>
      <c r="G77" s="0" t="s">
        <v>387</v>
      </c>
      <c r="H77" s="34" t="n">
        <v>-0.608520413087129</v>
      </c>
      <c r="I77" s="34" t="n">
        <v>0.0304351308608062</v>
      </c>
      <c r="J77" s="34" t="n">
        <v>-19.994013361407</v>
      </c>
      <c r="K77" s="34" t="n">
        <v>6.20948421706296E-089</v>
      </c>
      <c r="L77" s="0" t="s">
        <v>387</v>
      </c>
      <c r="M77" s="34" t="n">
        <v>-0.755941587072692</v>
      </c>
      <c r="N77" s="34" t="n">
        <v>0.0349366968473838</v>
      </c>
      <c r="O77" s="34" t="n">
        <v>-21.6374659108421</v>
      </c>
      <c r="P77" s="34" t="n">
        <v>7.97683573553781E-104</v>
      </c>
    </row>
    <row r="78" customFormat="false" ht="13.8" hidden="false" customHeight="false" outlineLevel="0" collapsed="false">
      <c r="A78" s="0" t="s">
        <v>388</v>
      </c>
      <c r="C78" s="34" t="n">
        <v>-0.26995249572711</v>
      </c>
      <c r="D78" s="34" t="n">
        <v>0.0153873778021353</v>
      </c>
      <c r="E78" s="34" t="n">
        <v>-17.5437621145331</v>
      </c>
      <c r="F78" s="34" t="n">
        <v>6.63835364442745E-069</v>
      </c>
      <c r="G78" s="0" t="s">
        <v>388</v>
      </c>
      <c r="H78" s="34" t="n">
        <v>-0.388666736351731</v>
      </c>
      <c r="I78" s="34" t="n">
        <v>0.0221443972123138</v>
      </c>
      <c r="J78" s="34" t="n">
        <v>-17.5514705875852</v>
      </c>
      <c r="K78" s="34" t="n">
        <v>5.79596611969827E-069</v>
      </c>
      <c r="L78" s="0" t="s">
        <v>388</v>
      </c>
      <c r="M78" s="34" t="n">
        <v>-0.524404501448997</v>
      </c>
      <c r="N78" s="34" t="n">
        <v>0.0246359398573167</v>
      </c>
      <c r="O78" s="34" t="n">
        <v>-21.2861577226676</v>
      </c>
      <c r="P78" s="34" t="n">
        <v>1.52532986451597E-100</v>
      </c>
    </row>
    <row r="79" customFormat="false" ht="13.8" hidden="false" customHeight="false" outlineLevel="0" collapsed="false">
      <c r="A79" s="0" t="s">
        <v>389</v>
      </c>
      <c r="C79" s="34" t="n">
        <v>0.000926191461247307</v>
      </c>
      <c r="D79" s="34" t="n">
        <v>0.0393992200450848</v>
      </c>
      <c r="E79" s="34" t="n">
        <v>0.0235078628507737</v>
      </c>
      <c r="F79" s="34" t="n">
        <v>0.981245166571278</v>
      </c>
      <c r="G79" s="0" t="s">
        <v>389</v>
      </c>
      <c r="H79" s="34" t="n">
        <v>-0.119905976606554</v>
      </c>
      <c r="I79" s="34" t="n">
        <v>0.0575007403012027</v>
      </c>
      <c r="J79" s="34" t="n">
        <v>-2.08529448453112</v>
      </c>
      <c r="K79" s="34" t="n">
        <v>0.0370425777737191</v>
      </c>
      <c r="L79" s="0" t="s">
        <v>389</v>
      </c>
      <c r="M79" s="34" t="n">
        <v>-0.309229804066434</v>
      </c>
      <c r="N79" s="34" t="n">
        <v>0.0699337109737138</v>
      </c>
      <c r="O79" s="34" t="n">
        <v>-4.42175597091744</v>
      </c>
      <c r="P79" s="34" t="n">
        <v>9.79019918624087E-006</v>
      </c>
    </row>
    <row r="80" customFormat="false" ht="13.8" hidden="false" customHeight="false" outlineLevel="0" collapsed="false">
      <c r="A80" s="0" t="s">
        <v>390</v>
      </c>
      <c r="C80" s="34" t="n">
        <v>-0.249168747205464</v>
      </c>
      <c r="D80" s="34" t="n">
        <v>0.0152161588732554</v>
      </c>
      <c r="E80" s="34" t="n">
        <v>-16.3752724508821</v>
      </c>
      <c r="F80" s="34" t="n">
        <v>2.87218415548178E-060</v>
      </c>
      <c r="G80" s="0" t="s">
        <v>390</v>
      </c>
      <c r="H80" s="34" t="n">
        <v>-0.47022633799757</v>
      </c>
      <c r="I80" s="34" t="n">
        <v>0.022244816160132</v>
      </c>
      <c r="J80" s="34" t="n">
        <v>-21.1386929256951</v>
      </c>
      <c r="K80" s="34" t="n">
        <v>3.50655077826956E-099</v>
      </c>
      <c r="L80" s="0" t="s">
        <v>390</v>
      </c>
      <c r="M80" s="34" t="n">
        <v>-0.586194770312048</v>
      </c>
      <c r="N80" s="34" t="n">
        <v>0.0245089341396251</v>
      </c>
      <c r="O80" s="34" t="n">
        <v>-23.91759539491</v>
      </c>
      <c r="P80" s="34" t="n">
        <v>2.00950959555958E-126</v>
      </c>
    </row>
    <row r="81" customFormat="false" ht="13.8" hidden="false" customHeight="false" outlineLevel="0" collapsed="false">
      <c r="A81" s="0" t="s">
        <v>391</v>
      </c>
      <c r="C81" s="34" t="n">
        <v>-0.662071012524491</v>
      </c>
      <c r="D81" s="34" t="n">
        <v>0.0163709162516851</v>
      </c>
      <c r="E81" s="34" t="n">
        <v>-40.4419033330734</v>
      </c>
      <c r="F81" s="34" t="n">
        <v>0</v>
      </c>
      <c r="G81" s="0" t="s">
        <v>391</v>
      </c>
      <c r="H81" s="34" t="n">
        <v>-0.73476400029905</v>
      </c>
      <c r="I81" s="34" t="n">
        <v>0.0239558895498193</v>
      </c>
      <c r="J81" s="34" t="n">
        <v>-30.6715389871461</v>
      </c>
      <c r="K81" s="34" t="n">
        <v>1.36436695150769E-206</v>
      </c>
      <c r="L81" s="0" t="s">
        <v>391</v>
      </c>
      <c r="M81" s="34" t="n">
        <v>-0.897142157911777</v>
      </c>
      <c r="N81" s="34" t="n">
        <v>0.027075914374738</v>
      </c>
      <c r="O81" s="34" t="n">
        <v>-33.1343254190822</v>
      </c>
      <c r="P81" s="34" t="n">
        <v>9.52554392835182E-241</v>
      </c>
    </row>
    <row r="82" customFormat="false" ht="13.8" hidden="false" customHeight="false" outlineLevel="0" collapsed="false">
      <c r="A82" s="0" t="s">
        <v>392</v>
      </c>
      <c r="C82" s="34" t="n">
        <v>-0.571594567684843</v>
      </c>
      <c r="D82" s="34" t="n">
        <v>0.0159805789783739</v>
      </c>
      <c r="E82" s="34" t="n">
        <v>-35.7680762667215</v>
      </c>
      <c r="F82" s="34" t="n">
        <v>3.46446729272758E-280</v>
      </c>
      <c r="G82" s="0" t="s">
        <v>392</v>
      </c>
      <c r="H82" s="34" t="n">
        <v>-0.723603562356872</v>
      </c>
      <c r="I82" s="34" t="n">
        <v>0.0234729522597624</v>
      </c>
      <c r="J82" s="34" t="n">
        <v>-30.8271219720956</v>
      </c>
      <c r="K82" s="34" t="n">
        <v>1.13512074699576E-208</v>
      </c>
      <c r="L82" s="0" t="s">
        <v>392</v>
      </c>
      <c r="M82" s="34" t="n">
        <v>-0.868957796860189</v>
      </c>
      <c r="N82" s="34" t="n">
        <v>0.0263502270220876</v>
      </c>
      <c r="O82" s="34" t="n">
        <v>-32.9772413775335</v>
      </c>
      <c r="P82" s="34" t="n">
        <v>1.72202554155636E-238</v>
      </c>
    </row>
    <row r="83" customFormat="false" ht="13.8" hidden="false" customHeight="false" outlineLevel="0" collapsed="false">
      <c r="A83" s="0" t="s">
        <v>393</v>
      </c>
      <c r="C83" s="34" t="n">
        <v>-0.537920955997533</v>
      </c>
      <c r="D83" s="34" t="n">
        <v>0.0189451071574807</v>
      </c>
      <c r="E83" s="34" t="n">
        <v>-28.3936613040021</v>
      </c>
      <c r="F83" s="34" t="n">
        <v>2.42144990110079E-177</v>
      </c>
      <c r="G83" s="0" t="s">
        <v>393</v>
      </c>
      <c r="H83" s="34" t="n">
        <v>-0.580187282745137</v>
      </c>
      <c r="I83" s="34" t="n">
        <v>0.0279042007977489</v>
      </c>
      <c r="J83" s="34" t="n">
        <v>-20.7921125191997</v>
      </c>
      <c r="K83" s="34" t="n">
        <v>5.10148891977088E-096</v>
      </c>
      <c r="L83" s="0" t="s">
        <v>393</v>
      </c>
      <c r="M83" s="34" t="n">
        <v>-0.665606091007286</v>
      </c>
      <c r="N83" s="34" t="n">
        <v>0.031084564422391</v>
      </c>
      <c r="O83" s="34" t="n">
        <v>-21.4127527078306</v>
      </c>
      <c r="P83" s="34" t="n">
        <v>1.01628912463637E-101</v>
      </c>
    </row>
    <row r="84" customFormat="false" ht="13.8" hidden="false" customHeight="false" outlineLevel="0" collapsed="false">
      <c r="A84" s="0" t="s">
        <v>394</v>
      </c>
      <c r="C84" s="34" t="n">
        <v>-0.840514820805274</v>
      </c>
      <c r="D84" s="34" t="n">
        <v>0.0161669272703552</v>
      </c>
      <c r="E84" s="34" t="n">
        <v>-51.9897694069857</v>
      </c>
      <c r="F84" s="34" t="n">
        <v>0</v>
      </c>
      <c r="G84" s="0" t="s">
        <v>394</v>
      </c>
      <c r="H84" s="34" t="n">
        <v>-0.971792531310367</v>
      </c>
      <c r="I84" s="34" t="n">
        <v>0.0239219096239858</v>
      </c>
      <c r="J84" s="34" t="n">
        <v>-40.623534934518</v>
      </c>
      <c r="K84" s="34" t="n">
        <v>0</v>
      </c>
      <c r="L84" s="0" t="s">
        <v>394</v>
      </c>
      <c r="M84" s="34" t="n">
        <v>-1.07849143464319</v>
      </c>
      <c r="N84" s="34" t="n">
        <v>0.0264730355456904</v>
      </c>
      <c r="O84" s="34" t="n">
        <v>-40.7392432492979</v>
      </c>
      <c r="P84" s="34" t="n">
        <v>0</v>
      </c>
    </row>
    <row r="85" customFormat="false" ht="13.8" hidden="false" customHeight="false" outlineLevel="0" collapsed="false">
      <c r="A85" s="0" t="s">
        <v>395</v>
      </c>
      <c r="C85" s="34" t="n">
        <v>-0.559564849818409</v>
      </c>
      <c r="D85" s="34" t="n">
        <v>0.0164152420728232</v>
      </c>
      <c r="E85" s="34" t="n">
        <v>-34.0881265921029</v>
      </c>
      <c r="F85" s="34" t="n">
        <v>1.10608540201868E-254</v>
      </c>
      <c r="G85" s="0" t="s">
        <v>395</v>
      </c>
      <c r="H85" s="34" t="n">
        <v>-0.679362969928806</v>
      </c>
      <c r="I85" s="34" t="n">
        <v>0.0242042699698836</v>
      </c>
      <c r="J85" s="34" t="n">
        <v>-28.067897555849</v>
      </c>
      <c r="K85" s="34" t="n">
        <v>2.41597105983248E-173</v>
      </c>
      <c r="L85" s="0" t="s">
        <v>395</v>
      </c>
      <c r="M85" s="34" t="n">
        <v>-0.814585024359869</v>
      </c>
      <c r="N85" s="34" t="n">
        <v>0.0269855164966382</v>
      </c>
      <c r="O85" s="34" t="n">
        <v>-30.1860082782313</v>
      </c>
      <c r="P85" s="34" t="n">
        <v>3.61541402763273E-200</v>
      </c>
    </row>
    <row r="86" customFormat="false" ht="13.8" hidden="false" customHeight="false" outlineLevel="0" collapsed="false">
      <c r="A86" s="0" t="s">
        <v>396</v>
      </c>
      <c r="C86" s="34" t="n">
        <v>-0.397188851466147</v>
      </c>
      <c r="D86" s="34" t="n">
        <v>0.015564731825858</v>
      </c>
      <c r="E86" s="34" t="n">
        <v>-25.5185155716136</v>
      </c>
      <c r="F86" s="34" t="n">
        <v>1.22829174484053E-143</v>
      </c>
      <c r="G86" s="0" t="s">
        <v>396</v>
      </c>
      <c r="H86" s="34" t="n">
        <v>-0.541372094810308</v>
      </c>
      <c r="I86" s="34" t="n">
        <v>0.0226622867230612</v>
      </c>
      <c r="J86" s="34" t="n">
        <v>-23.8886790828309</v>
      </c>
      <c r="K86" s="34" t="n">
        <v>4.016001745277E-126</v>
      </c>
      <c r="L86" s="0" t="s">
        <v>396</v>
      </c>
      <c r="M86" s="34" t="n">
        <v>-0.719293150220954</v>
      </c>
      <c r="N86" s="34" t="n">
        <v>0.0255048790979015</v>
      </c>
      <c r="O86" s="34" t="n">
        <v>-28.2021783933936</v>
      </c>
      <c r="P86" s="34" t="n">
        <v>5.49871413810917E-175</v>
      </c>
    </row>
    <row r="87" customFormat="false" ht="13.8" hidden="false" customHeight="false" outlineLevel="0" collapsed="false">
      <c r="A87" s="0" t="s">
        <v>397</v>
      </c>
      <c r="C87" s="34" t="n">
        <v>-0.0103700554484821</v>
      </c>
      <c r="D87" s="34" t="n">
        <v>0.00644005044643416</v>
      </c>
      <c r="E87" s="34" t="n">
        <v>-1.61024444369438</v>
      </c>
      <c r="F87" s="34" t="n">
        <v>0.107344502407817</v>
      </c>
      <c r="G87" s="0" t="s">
        <v>397</v>
      </c>
      <c r="H87" s="34" t="n">
        <v>-0.012890993174066</v>
      </c>
      <c r="I87" s="34" t="n">
        <v>0.0101586701229719</v>
      </c>
      <c r="J87" s="34" t="n">
        <v>-1.26896463986122</v>
      </c>
      <c r="K87" s="34" t="n">
        <v>0.204453675892115</v>
      </c>
      <c r="L87" s="0" t="s">
        <v>397</v>
      </c>
      <c r="M87" s="34" t="n">
        <v>0.00355630034055919</v>
      </c>
      <c r="N87" s="34" t="n">
        <v>0.0114101737727065</v>
      </c>
      <c r="O87" s="34" t="n">
        <v>0.311678017478225</v>
      </c>
      <c r="P87" s="34" t="n">
        <v>0.755285235851183</v>
      </c>
    </row>
    <row r="88" customFormat="false" ht="13.8" hidden="false" customHeight="false" outlineLevel="0" collapsed="false">
      <c r="A88" s="0" t="s">
        <v>398</v>
      </c>
      <c r="C88" s="34" t="n">
        <v>0.11316003666038</v>
      </c>
      <c r="D88" s="34" t="n">
        <v>0.00637325896060607</v>
      </c>
      <c r="E88" s="34" t="n">
        <v>17.7554430723492</v>
      </c>
      <c r="F88" s="34" t="n">
        <v>1.56431249959745E-070</v>
      </c>
      <c r="G88" s="0" t="s">
        <v>398</v>
      </c>
      <c r="H88" s="34" t="n">
        <v>0.166702306856275</v>
      </c>
      <c r="I88" s="34" t="n">
        <v>0.00994750273158423</v>
      </c>
      <c r="J88" s="34" t="n">
        <v>16.7582066931211</v>
      </c>
      <c r="K88" s="34" t="n">
        <v>4.93279620010086E-063</v>
      </c>
      <c r="L88" s="0" t="s">
        <v>398</v>
      </c>
      <c r="M88" s="34" t="n">
        <v>0.174278691687919</v>
      </c>
      <c r="N88" s="34" t="n">
        <v>0.0113032501255602</v>
      </c>
      <c r="O88" s="34" t="n">
        <v>15.4184583860371</v>
      </c>
      <c r="P88" s="34" t="n">
        <v>1.23005706012855E-053</v>
      </c>
    </row>
    <row r="89" customFormat="false" ht="13.8" hidden="false" customHeight="false" outlineLevel="0" collapsed="false">
      <c r="A89" s="0" t="s">
        <v>399</v>
      </c>
      <c r="C89" s="34" t="n">
        <v>0.114947782990002</v>
      </c>
      <c r="D89" s="34" t="n">
        <v>0.00511711260144113</v>
      </c>
      <c r="E89" s="34" t="n">
        <v>22.4634069919879</v>
      </c>
      <c r="F89" s="34" t="n">
        <v>9.46454359970514E-112</v>
      </c>
      <c r="G89" s="0" t="s">
        <v>399</v>
      </c>
      <c r="H89" s="34" t="n">
        <v>0.140624424809158</v>
      </c>
      <c r="I89" s="34" t="n">
        <v>0.00804096733468586</v>
      </c>
      <c r="J89" s="34" t="n">
        <v>17.488495967712</v>
      </c>
      <c r="K89" s="34" t="n">
        <v>1.75323521270467E-068</v>
      </c>
      <c r="L89" s="0" t="s">
        <v>399</v>
      </c>
      <c r="M89" s="34" t="n">
        <v>0.111505889114949</v>
      </c>
      <c r="N89" s="34" t="n">
        <v>0.00931375214506333</v>
      </c>
      <c r="O89" s="34" t="n">
        <v>11.9721769892762</v>
      </c>
      <c r="P89" s="34" t="n">
        <v>4.97070334502899E-033</v>
      </c>
    </row>
    <row r="90" customFormat="false" ht="13.8" hidden="false" customHeight="false" outlineLevel="0" collapsed="false">
      <c r="A90" s="0" t="s">
        <v>400</v>
      </c>
      <c r="C90" s="34" t="n">
        <v>0.0433260716468512</v>
      </c>
      <c r="D90" s="34" t="n">
        <v>0.00589539038280825</v>
      </c>
      <c r="E90" s="34" t="n">
        <v>7.34914379431019</v>
      </c>
      <c r="F90" s="34" t="n">
        <v>1.99480500422316E-013</v>
      </c>
      <c r="G90" s="0" t="s">
        <v>400</v>
      </c>
      <c r="H90" s="34" t="n">
        <v>0.0648663711699712</v>
      </c>
      <c r="I90" s="34" t="n">
        <v>0.00926514682879562</v>
      </c>
      <c r="J90" s="34" t="n">
        <v>7.00111637393265</v>
      </c>
      <c r="K90" s="34" t="n">
        <v>2.53930904893316E-012</v>
      </c>
      <c r="L90" s="0" t="s">
        <v>400</v>
      </c>
      <c r="M90" s="34" t="n">
        <v>-0.0308336189840083</v>
      </c>
      <c r="N90" s="34" t="n">
        <v>0.0109955221790125</v>
      </c>
      <c r="O90" s="34" t="n">
        <v>-2.80419778906558</v>
      </c>
      <c r="P90" s="34" t="n">
        <v>0.00504419508492776</v>
      </c>
    </row>
    <row r="91" customFormat="false" ht="13.8" hidden="false" customHeight="false" outlineLevel="0" collapsed="false">
      <c r="A91" s="0" t="s">
        <v>401</v>
      </c>
      <c r="C91" s="34" t="n">
        <v>0.0210363324488544</v>
      </c>
      <c r="D91" s="34" t="n">
        <v>0.0075878028089457</v>
      </c>
      <c r="E91" s="34" t="n">
        <v>2.77238786754625</v>
      </c>
      <c r="F91" s="34" t="n">
        <v>0.00556466875963689</v>
      </c>
      <c r="G91" s="0" t="s">
        <v>401</v>
      </c>
      <c r="H91" s="34" t="n">
        <v>0.0968331112543996</v>
      </c>
      <c r="I91" s="34" t="n">
        <v>0.011664173188943</v>
      </c>
      <c r="J91" s="34" t="n">
        <v>8.30175527110587</v>
      </c>
      <c r="K91" s="34" t="n">
        <v>1.02584353218918E-016</v>
      </c>
      <c r="L91" s="0" t="s">
        <v>401</v>
      </c>
      <c r="M91" s="34" t="n">
        <v>-0.00373272811353845</v>
      </c>
      <c r="N91" s="34" t="n">
        <v>0.0139324695679217</v>
      </c>
      <c r="O91" s="34" t="n">
        <v>-0.267915755734557</v>
      </c>
      <c r="P91" s="34" t="n">
        <v>0.788764165589877</v>
      </c>
    </row>
    <row r="92" customFormat="false" ht="13.8" hidden="false" customHeight="false" outlineLevel="0" collapsed="false">
      <c r="A92" s="0" t="s">
        <v>402</v>
      </c>
      <c r="C92" s="34" t="n">
        <v>-0.130222794723999</v>
      </c>
      <c r="D92" s="34" t="n">
        <v>0.0109813806363389</v>
      </c>
      <c r="E92" s="34" t="n">
        <v>-11.8585084186111</v>
      </c>
      <c r="F92" s="34" t="n">
        <v>1.94407462691033E-032</v>
      </c>
      <c r="G92" s="0" t="s">
        <v>402</v>
      </c>
      <c r="H92" s="34" t="n">
        <v>-0.16310346148214</v>
      </c>
      <c r="I92" s="34" t="n">
        <v>0.0171961216559316</v>
      </c>
      <c r="J92" s="34" t="n">
        <v>-9.48489809188339</v>
      </c>
      <c r="K92" s="34" t="n">
        <v>2.42620029378824E-021</v>
      </c>
      <c r="L92" s="0" t="s">
        <v>402</v>
      </c>
      <c r="M92" s="34" t="n">
        <v>-0.0674370239710056</v>
      </c>
      <c r="N92" s="34" t="n">
        <v>0.0199246193172583</v>
      </c>
      <c r="O92" s="34" t="n">
        <v>-3.38460790127082</v>
      </c>
      <c r="P92" s="34" t="n">
        <v>0.000712799968723941</v>
      </c>
    </row>
    <row r="93" customFormat="false" ht="13.8" hidden="false" customHeight="false" outlineLevel="0" collapsed="false">
      <c r="A93" s="0" t="s">
        <v>403</v>
      </c>
      <c r="C93" s="34" t="n">
        <v>-0.145430450743078</v>
      </c>
      <c r="D93" s="34" t="n">
        <v>0.00728986643917435</v>
      </c>
      <c r="E93" s="34" t="n">
        <v>-19.9496728721342</v>
      </c>
      <c r="F93" s="34" t="n">
        <v>1.50872239108105E-088</v>
      </c>
      <c r="G93" s="0" t="s">
        <v>403</v>
      </c>
      <c r="H93" s="34" t="n">
        <v>-0.185073122835149</v>
      </c>
      <c r="I93" s="34" t="n">
        <v>0.0112987410895699</v>
      </c>
      <c r="J93" s="34" t="n">
        <v>-16.3799773238448</v>
      </c>
      <c r="K93" s="34" t="n">
        <v>2.65842263971932E-060</v>
      </c>
      <c r="L93" s="0" t="s">
        <v>403</v>
      </c>
      <c r="M93" s="34" t="n">
        <v>-0.209040188814424</v>
      </c>
      <c r="N93" s="34" t="n">
        <v>0.0136588147692271</v>
      </c>
      <c r="O93" s="34" t="n">
        <v>-15.3044164040781</v>
      </c>
      <c r="P93" s="34" t="n">
        <v>7.14399141855002E-053</v>
      </c>
    </row>
    <row r="94" customFormat="false" ht="13.8" hidden="false" customHeight="false" outlineLevel="0" collapsed="false">
      <c r="A94" s="0" t="s">
        <v>404</v>
      </c>
      <c r="C94" s="34" t="n">
        <v>0.091653837638099</v>
      </c>
      <c r="D94" s="34" t="n">
        <v>0.00833827887628132</v>
      </c>
      <c r="E94" s="34" t="n">
        <v>10.9919371848804</v>
      </c>
      <c r="F94" s="34" t="n">
        <v>4.17859785160312E-028</v>
      </c>
      <c r="G94" s="0" t="s">
        <v>404</v>
      </c>
      <c r="H94" s="34" t="n">
        <v>0.0625972967237929</v>
      </c>
      <c r="I94" s="34" t="n">
        <v>0.0126156535553904</v>
      </c>
      <c r="J94" s="34" t="n">
        <v>4.96187505854948</v>
      </c>
      <c r="K94" s="34" t="n">
        <v>6.9815901413807E-007</v>
      </c>
      <c r="L94" s="0" t="s">
        <v>404</v>
      </c>
      <c r="M94" s="34" t="n">
        <v>0.0656277105638454</v>
      </c>
      <c r="N94" s="34" t="n">
        <v>0.0150978129012526</v>
      </c>
      <c r="O94" s="34" t="n">
        <v>4.34683559751892</v>
      </c>
      <c r="P94" s="34" t="n">
        <v>1.38115662202829E-005</v>
      </c>
    </row>
    <row r="95" customFormat="false" ht="13.8" hidden="false" customHeight="false" outlineLevel="0" collapsed="false">
      <c r="A95" s="0" t="s">
        <v>405</v>
      </c>
      <c r="C95" s="34" t="n">
        <v>-0.0616425495118422</v>
      </c>
      <c r="D95" s="34" t="n">
        <v>0.01142663344062</v>
      </c>
      <c r="E95" s="34" t="n">
        <v>-5.39463787231611</v>
      </c>
      <c r="F95" s="34" t="n">
        <v>6.86618878179044E-008</v>
      </c>
      <c r="G95" s="0" t="s">
        <v>405</v>
      </c>
      <c r="H95" s="34" t="n">
        <v>-0.0668744030098288</v>
      </c>
      <c r="I95" s="34" t="n">
        <v>0.0181129659184101</v>
      </c>
      <c r="J95" s="34" t="n">
        <v>-3.69207358480466</v>
      </c>
      <c r="K95" s="34" t="n">
        <v>0.000222433082948669</v>
      </c>
      <c r="L95" s="0" t="s">
        <v>405</v>
      </c>
      <c r="M95" s="34" t="n">
        <v>-0.00957501259063266</v>
      </c>
      <c r="N95" s="34" t="n">
        <v>0.0216691540457851</v>
      </c>
      <c r="O95" s="34" t="n">
        <v>-0.44187293008308</v>
      </c>
      <c r="P95" s="34" t="n">
        <v>0.658581160270712</v>
      </c>
    </row>
    <row r="96" customFormat="false" ht="13.8" hidden="false" customHeight="false" outlineLevel="0" collapsed="false">
      <c r="A96" s="0" t="s">
        <v>406</v>
      </c>
      <c r="C96" s="34" t="n">
        <v>-0.132427689936783</v>
      </c>
      <c r="D96" s="34" t="n">
        <v>0.00904129678346374</v>
      </c>
      <c r="E96" s="34" t="n">
        <v>-14.6469796433394</v>
      </c>
      <c r="F96" s="34" t="n">
        <v>1.40838614687173E-048</v>
      </c>
      <c r="G96" s="0" t="s">
        <v>406</v>
      </c>
      <c r="H96" s="34" t="n">
        <v>-0.147287849394278</v>
      </c>
      <c r="I96" s="34" t="n">
        <v>0.0140647355255143</v>
      </c>
      <c r="J96" s="34" t="n">
        <v>-10.472137860473</v>
      </c>
      <c r="K96" s="34" t="n">
        <v>1.15993336126688E-025</v>
      </c>
      <c r="L96" s="0" t="s">
        <v>406</v>
      </c>
      <c r="M96" s="34" t="n">
        <v>-0.0949340179336944</v>
      </c>
      <c r="N96" s="34" t="n">
        <v>0.0169062067832099</v>
      </c>
      <c r="O96" s="34" t="n">
        <v>-5.6153351932248</v>
      </c>
      <c r="P96" s="34" t="n">
        <v>1.9618156559323E-008</v>
      </c>
    </row>
    <row r="97" customFormat="false" ht="13.8" hidden="false" customHeight="false" outlineLevel="0" collapsed="false">
      <c r="A97" s="0" t="s">
        <v>407</v>
      </c>
      <c r="C97" s="34" t="n">
        <v>-0.0210113860431677</v>
      </c>
      <c r="D97" s="34" t="n">
        <v>0.0124435414601989</v>
      </c>
      <c r="E97" s="34" t="n">
        <v>-1.68853747226007</v>
      </c>
      <c r="F97" s="34" t="n">
        <v>0.0913081020527082</v>
      </c>
      <c r="G97" s="0" t="s">
        <v>407</v>
      </c>
      <c r="H97" s="34" t="n">
        <v>-0.0397347997223442</v>
      </c>
      <c r="I97" s="34" t="n">
        <v>0.0190134988780333</v>
      </c>
      <c r="J97" s="34" t="n">
        <v>-2.08982049949001</v>
      </c>
      <c r="K97" s="34" t="n">
        <v>0.0366339271772813</v>
      </c>
      <c r="L97" s="0" t="s">
        <v>407</v>
      </c>
      <c r="M97" s="34" t="n">
        <v>0.024295771366341</v>
      </c>
      <c r="N97" s="34" t="n">
        <v>0.0222736193330899</v>
      </c>
      <c r="O97" s="34" t="n">
        <v>1.09078686328481</v>
      </c>
      <c r="P97" s="34" t="n">
        <v>0.275366678216146</v>
      </c>
    </row>
    <row r="98" customFormat="false" ht="13.8" hidden="false" customHeight="false" outlineLevel="0" collapsed="false">
      <c r="A98" s="0" t="s">
        <v>408</v>
      </c>
      <c r="C98" s="34" t="n">
        <v>-0.283642530372375</v>
      </c>
      <c r="D98" s="34" t="n">
        <v>0.00738127926026514</v>
      </c>
      <c r="E98" s="34" t="n">
        <v>-38.42728616153</v>
      </c>
      <c r="F98" s="34" t="n">
        <v>0</v>
      </c>
      <c r="G98" s="0" t="s">
        <v>408</v>
      </c>
      <c r="H98" s="34" t="n">
        <v>-0.362850799980896</v>
      </c>
      <c r="I98" s="34" t="n">
        <v>0.0116520680453327</v>
      </c>
      <c r="J98" s="34" t="n">
        <v>-31.1404635270936</v>
      </c>
      <c r="K98" s="34" t="n">
        <v>6.82820952766185E-213</v>
      </c>
      <c r="L98" s="0" t="s">
        <v>408</v>
      </c>
      <c r="M98" s="34" t="n">
        <v>-0.326585350101414</v>
      </c>
      <c r="N98" s="34" t="n">
        <v>0.013773221649087</v>
      </c>
      <c r="O98" s="34" t="n">
        <v>-23.7116165282263</v>
      </c>
      <c r="P98" s="34" t="n">
        <v>2.73640537831622E-124</v>
      </c>
    </row>
    <row r="99" customFormat="false" ht="13.8" hidden="false" customHeight="false" outlineLevel="0" collapsed="false">
      <c r="A99" s="0" t="s">
        <v>409</v>
      </c>
      <c r="C99" s="34" t="n">
        <v>0.148485353922271</v>
      </c>
      <c r="D99" s="34" t="n">
        <v>0.00767583970215834</v>
      </c>
      <c r="E99" s="34" t="n">
        <v>19.3445094848084</v>
      </c>
      <c r="F99" s="34" t="n">
        <v>2.26751485955539E-083</v>
      </c>
      <c r="G99" s="0" t="s">
        <v>409</v>
      </c>
      <c r="H99" s="34" t="n">
        <v>0.0841063180603041</v>
      </c>
      <c r="I99" s="34" t="n">
        <v>0.0120310875391338</v>
      </c>
      <c r="J99" s="34" t="n">
        <v>6.99074940538248</v>
      </c>
      <c r="K99" s="34" t="n">
        <v>2.73421762315226E-012</v>
      </c>
      <c r="L99" s="0" t="s">
        <v>409</v>
      </c>
      <c r="M99" s="34" t="n">
        <v>0.169220709634234</v>
      </c>
      <c r="N99" s="34" t="n">
        <v>0.0140144697154346</v>
      </c>
      <c r="O99" s="34" t="n">
        <v>12.0747137116337</v>
      </c>
      <c r="P99" s="34" t="n">
        <v>1.43663368364346E-033</v>
      </c>
    </row>
    <row r="100" customFormat="false" ht="13.8" hidden="false" customHeight="false" outlineLevel="0" collapsed="false">
      <c r="A100" s="0" t="s">
        <v>410</v>
      </c>
      <c r="C100" s="34" t="n">
        <v>0.328194966939011</v>
      </c>
      <c r="D100" s="34" t="n">
        <v>0.0128996577271114</v>
      </c>
      <c r="E100" s="34" t="n">
        <v>25.4421453562476</v>
      </c>
      <c r="F100" s="34" t="n">
        <v>8.62401510600374E-143</v>
      </c>
      <c r="G100" s="0" t="s">
        <v>410</v>
      </c>
      <c r="H100" s="34" t="n">
        <v>0.356875503751225</v>
      </c>
      <c r="I100" s="34" t="n">
        <v>0.0188784489636413</v>
      </c>
      <c r="J100" s="34" t="n">
        <v>18.9038572203969</v>
      </c>
      <c r="K100" s="34" t="n">
        <v>1.06011467115985E-079</v>
      </c>
      <c r="L100" s="0" t="s">
        <v>410</v>
      </c>
      <c r="M100" s="34" t="n">
        <v>0.470790722473938</v>
      </c>
      <c r="N100" s="34" t="n">
        <v>0.0209894499685272</v>
      </c>
      <c r="O100" s="34" t="n">
        <v>22.4298742072741</v>
      </c>
      <c r="P100" s="34" t="n">
        <v>2.0120495007105E-111</v>
      </c>
    </row>
    <row r="102" customFormat="false" ht="13.8" hidden="false" customHeight="false" outlineLevel="0" collapsed="false">
      <c r="C102" s="38" t="s">
        <v>411</v>
      </c>
      <c r="D102" s="38"/>
      <c r="E102" s="38"/>
      <c r="F102" s="38"/>
      <c r="G102" s="38"/>
      <c r="H102" s="39" t="s">
        <v>412</v>
      </c>
      <c r="I102" s="38"/>
      <c r="J102" s="38"/>
      <c r="K102" s="38"/>
      <c r="L102" s="38"/>
      <c r="M102" s="39" t="s">
        <v>413</v>
      </c>
      <c r="N102" s="38"/>
      <c r="O102" s="38"/>
    </row>
    <row r="103" customFormat="false" ht="13.8" hidden="false" customHeight="false" outlineLevel="0" collapsed="false">
      <c r="C103" s="38" t="s">
        <v>414</v>
      </c>
      <c r="D103" s="38"/>
      <c r="E103" s="38"/>
      <c r="F103" s="38"/>
      <c r="G103" s="38"/>
      <c r="H103" s="39" t="s">
        <v>415</v>
      </c>
      <c r="I103" s="38"/>
      <c r="J103" s="38"/>
      <c r="K103" s="38"/>
      <c r="L103" s="38"/>
      <c r="M103" s="39" t="s">
        <v>416</v>
      </c>
      <c r="N103" s="38"/>
      <c r="O103" s="38"/>
    </row>
    <row r="104" customFormat="false" ht="13.8" hidden="false" customHeight="false" outlineLevel="0" collapsed="false">
      <c r="C104" s="38" t="s">
        <v>417</v>
      </c>
      <c r="D104" s="38"/>
      <c r="E104" s="38"/>
      <c r="F104" s="38"/>
      <c r="G104" s="38"/>
      <c r="H104" s="40" t="s">
        <v>418</v>
      </c>
      <c r="I104" s="38"/>
      <c r="J104" s="38"/>
      <c r="K104" s="38"/>
      <c r="L104" s="38"/>
      <c r="M104" s="40" t="s">
        <v>419</v>
      </c>
      <c r="N104" s="38"/>
      <c r="O104" s="38"/>
    </row>
  </sheetData>
  <mergeCells count="3">
    <mergeCell ref="C3:F3"/>
    <mergeCell ref="H3:K3"/>
    <mergeCell ref="M3:P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2021-02-12T14:16:24Z</dcterms:created>
  <dc:creator>Jeffrey Allen</dc:creator>
  <dc:description/>
  <dc:language>en-CA</dc:language>
  <cp:lastModifiedBy>Jeff Allen</cp:lastModifiedBy>
  <dcterms:modified xsi:type="dcterms:W3CDTF">2021-07-20T08:26:09Z</dcterms:modified>
  <cp:revision>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_AdHocReviewCycleID">
    <vt:i4>1663413701</vt:i4>
  </property>
  <property fmtid="{D5CDD505-2E9C-101B-9397-08002B2CF9AE}" pid="9" name="_AuthorEmail">
    <vt:lpwstr>lady.bolongaita@canada.ca</vt:lpwstr>
  </property>
  <property fmtid="{D5CDD505-2E9C-101B-9397-08002B2CF9AE}" pid="10" name="_AuthorEmailDisplayName">
    <vt:lpwstr>Bolongaita, Lady (STATCAN)</vt:lpwstr>
  </property>
  <property fmtid="{D5CDD505-2E9C-101B-9397-08002B2CF9AE}" pid="11" name="_EmailSubject">
    <vt:lpwstr>5864_Vetting</vt:lpwstr>
  </property>
  <property fmtid="{D5CDD505-2E9C-101B-9397-08002B2CF9AE}" pid="12" name="_NewReviewCycle">
    <vt:lpwstr/>
  </property>
</Properties>
</file>